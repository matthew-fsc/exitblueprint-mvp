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Joe Loan" sheetId="3" state="visible" r:id="rId3"/>
    <sheet name="Monthly Cash Flow" sheetId="4" state="visible" r:id="rId4"/>
    <sheet name="Dashboard" sheetId="5" state="visible" r:id="rId5"/>
    <sheet name="SaaS Metrics" sheetId="6" state="visible" r:id="rId6"/>
    <sheet name="Downside (Slow GTM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_(\$* #,##0_);_(\$* \(#,##0\);_(\$* \-_);_(@_)"/>
    <numFmt numFmtId="165" formatCode="0.0%;\(0.0%\);\-"/>
    <numFmt numFmtId="166" formatCode="#,##0;(#,##0);\-"/>
    <numFmt numFmtId="167" formatCode="0.0;(0.0);\-"/>
    <numFmt numFmtId="168" formatCode="&quot;Mo &quot;0"/>
    <numFmt numFmtId="169" formatCode="0.0"/>
    <numFmt numFmtId="170" formatCode="0.0x"/>
    <numFmt numFmtId="171" formatCode="0.0&quot;x&quot;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000000"/>
      <sz val="10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color rgb="FF0000FF"/>
      <sz val="10"/>
    </font>
    <font>
      <name val="Arial"/>
      <color rgb="FF595959"/>
      <sz val="9"/>
    </font>
    <font>
      <name val="Arial"/>
      <i val="1"/>
      <color rgb="FF595959"/>
      <sz val="10"/>
    </font>
    <font>
      <name val="Arial"/>
      <i val="1"/>
      <color rgb="FF000000"/>
      <sz val="10"/>
    </font>
    <font>
      <name val="Arial"/>
      <b val="1"/>
      <color rgb="FF000000"/>
      <sz val="10"/>
    </font>
    <font>
      <name val="Arial"/>
      <b val="1"/>
      <color rgb="FF595959"/>
      <sz val="9"/>
    </font>
    <font>
      <name val="Arial"/>
      <color rgb="FF008000"/>
      <sz val="10"/>
    </font>
    <font>
      <name val="Arial"/>
      <b val="1"/>
      <color rgb="FF008000"/>
      <sz val="10"/>
    </font>
    <font>
      <name val="Arial"/>
      <b val="1"/>
      <color rgb="FF000000"/>
      <sz val="11"/>
    </font>
    <font>
      <name val="Arial"/>
      <b val="1"/>
      <color rgb="FF008000"/>
      <sz val="11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4" borderId="0" pivotButton="0" quotePrefix="0" xfId="0"/>
    <xf numFmtId="0" fontId="6" fillId="0" borderId="0" pivotButton="0" quotePrefix="0" xfId="0"/>
    <xf numFmtId="165" fontId="5" fillId="4" borderId="0" pivotButton="0" quotePrefix="0" xfId="0"/>
    <xf numFmtId="166" fontId="5" fillId="0" borderId="0" pivotButton="0" quotePrefix="0" xfId="0"/>
    <xf numFmtId="0" fontId="7" fillId="0" borderId="0" pivotButton="0" quotePrefix="0" xfId="0"/>
    <xf numFmtId="164" fontId="5" fillId="0" borderId="0" pivotButton="0" quotePrefix="0" xfId="0"/>
    <xf numFmtId="0" fontId="8" fillId="5" borderId="0" pivotButton="0" quotePrefix="0" xfId="0"/>
    <xf numFmtId="165" fontId="5" fillId="0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6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164" fontId="2" fillId="0" borderId="0" pivotButton="0" quotePrefix="0" xfId="0"/>
    <xf numFmtId="164" fontId="9" fillId="0" borderId="0" pivotButton="0" quotePrefix="0" xfId="0"/>
    <xf numFmtId="164" fontId="11" fillId="0" borderId="0" pivotButton="0" quotePrefix="0" xfId="0"/>
    <xf numFmtId="165" fontId="2" fillId="0" borderId="0" pivotButton="0" quotePrefix="0" xfId="0"/>
    <xf numFmtId="0" fontId="9" fillId="0" borderId="0" pivotButton="0" quotePrefix="0" xfId="0"/>
    <xf numFmtId="166" fontId="2" fillId="0" borderId="0" pivotButton="0" quotePrefix="0" xfId="0"/>
    <xf numFmtId="166" fontId="11" fillId="0" borderId="0" pivotButton="0" quotePrefix="0" xfId="0"/>
    <xf numFmtId="166" fontId="9" fillId="0" borderId="0" pivotButton="0" quotePrefix="0" xfId="0"/>
    <xf numFmtId="164" fontId="9" fillId="8" borderId="0" pivotButton="0" quotePrefix="0" xfId="0"/>
    <xf numFmtId="167" fontId="2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168" fontId="12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166" fontId="14" fillId="0" borderId="0" pivotButton="0" quotePrefix="0" xfId="0"/>
    <xf numFmtId="164" fontId="14" fillId="0" borderId="0" pivotButton="0" quotePrefix="0" xfId="0"/>
    <xf numFmtId="169" fontId="12" fillId="0" borderId="0" pivotButton="0" quotePrefix="0" xfId="0"/>
    <xf numFmtId="170" fontId="12" fillId="0" borderId="0" pivotButton="0" quotePrefix="0" xfId="0"/>
    <xf numFmtId="0" fontId="3" fillId="0" borderId="0" applyAlignment="1" pivotButton="0" quotePrefix="0" xfId="0">
      <alignment vertical="center" wrapText="1"/>
    </xf>
    <xf numFmtId="171" fontId="5" fillId="4" borderId="0" pivotButton="0" quotePrefix="0" xfId="0"/>
    <xf numFmtId="0" fontId="5" fillId="0" borderId="0" pivotButton="0" quotePrefix="0" xfId="0"/>
    <xf numFmtId="164" fontId="2" fillId="8" borderId="0" pivotButton="0" quotePrefix="0" xfId="0"/>
    <xf numFmtId="166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36"/>
  <s:sheetViews>
    <s:sheetView showGridLines="0" workbookViewId="0">
      <s:selection activeCell="A1" sqref="A1"/>
    </s:sheetView>
  </s:sheetViews>
  <s:sheetFormatPr baseColWidth="8" defaultRowHeight="15"/>
  <s:cols>
    <s:col width="100" customWidth="1" min="1" max="1"/>
  </s:cols>
  <s:sheetData>
    <s:row r="1">
      <s:c r="A1" s="1" t="inlineStr">
        <s:is>
          <s:t>ExitBlueprint — Bootstrap Cash Flow Model (v6)</s:t>
        </s:is>
      </s:c>
      <s:c r="B1" s="2" t="inlineStr"/>
    </s:row>
    <s:row r="4">
      <s:c r="A4" s="3" t="inlineStr">
        <s:is>
          <s:t>THESIS</s:t>
        </s:is>
      </s:c>
      <s:c r="B4" s="4" t="inlineStr"/>
    </s:row>
    <s:row r="5">
      <s:c r="A5" s="5" t="inlineStr">
        <s:is>
          <s:t>Bootstrap ExitBlueprint on a small founder loan from Joe. No SBA loan, no Series A raise.</s:t>
        </s:is>
      </s:c>
    </s:row>
    <s:row r="6">
      <s:c r="A6" s="5" t="inlineStr">
        <s:is>
          <s:t>Joe lends the company just enough to bridge the pre-revenue burn; the loan is repaid from</s:t>
        </s:is>
      </s:c>
    </s:row>
    <s:row r="7">
      <s:c r="A7" s="5" t="inlineStr">
        <s:is>
          <s:t>operating cash flow as advisors ramp. Founders draw only once the business can fund it.</s:t>
        </s:is>
      </s:c>
    </s:row>
    <s:row r="9">
      <s:c r="A9" s="3" t="inlineStr">
        <s:is>
          <s:t>HOW THE BOOTSTRAP WORKS</s:t>
        </s:is>
      </s:c>
      <s:c r="B9" s="4" t="inlineStr"/>
    </s:row>
    <s:row r="10">
      <s:c r="A10" s="5" t="inlineStr">
        <s:is>
          <s:t>1. Joe funds a $55k loan at Mo 0 (Aug-26) — sized to the deepest cash hole (~$39k) + a $15k buffer.</s:t>
        </s:is>
      </s:c>
    </s:row>
    <s:row r="11">
      <s:c r="A11" s="5" t="inlineStr">
        <s:is>
          <s:t>2. Interest accrues (non-cash) while pre-revenue; nothing is paid out during the burn.</s:t>
        </s:is>
      </s:c>
    </s:row>
    <s:row r="12">
      <s:c r="A12" s="5" t="inlineStr">
        <s:is>
          <s:t>3. GTM right after Labor Day (Mo 1 = Sep-26). Founding advisors onboard; revenue begins.</s:t>
        </s:is>
      </s:c>
    </s:row>
    <s:row r="13">
      <s:c r="A13" s="5" t="inlineStr">
        <s:is>
          <s:t>4. Founder draws ($5k/mo) switch on only when gross profit covers them (Mo 3, Nov-26).</s:t>
        </s:is>
      </s:c>
    </s:row>
    <s:row r="14">
      <s:c r="A14" s="5" t="inlineStr">
        <s:is>
          <s:t>5. Once monthly cash flow turns positive (Mo 4), surplus above the buffer sweeps back to Joe.</s:t>
        </s:is>
      </s:c>
    </s:row>
    <s:row r="15">
      <s:c r="A15" s="5" t="inlineStr">
        <s:is>
          <s:t>6. Joe is fully repaid by ~Mo 7 (Mar-27) with ~$1.9k total interest. Business self-funds thereafter.</s:t>
        </s:is>
      </s:c>
    </s:row>
    <s:row r="17">
      <s:c r="A17" s="3" t="inlineStr">
        <s:is>
          <s:t>KEY DECISIONS BAKED IN</s:t>
        </s:is>
      </s:c>
      <s:c r="B17" s="4" t="inlineStr"/>
    </s:row>
    <s:row r="18">
      <s:c r="A18" s="5" t="inlineStr">
        <s:is>
          <s:t>- Marketing: $750/mo for Mo 0-1, then $1,500 -&gt; $2,250 -&gt; $3,000/mo cap as the software matures.</s:t>
        </s:is>
      </s:c>
    </s:row>
    <s:row r="19">
      <s:c r="A19" s="5" t="inlineStr">
        <s:is>
          <s:t>- Legal itemized: Entity formation, Operating Agreement, Trademark/IP, ToS/Privacy Policy.</s:t>
        </s:is>
      </s:c>
    </s:row>
    <s:row r="20">
      <s:c r="A20" s="5" t="inlineStr">
        <s:is>
          <s:t>- SOC 2 kept (~$20k, spread Mo 0-2). Dev build, EPI conference, and BizDev retainer removed.</s:t>
        </s:is>
      </s:c>
    </s:row>
    <s:row r="21">
      <s:c r="A21" s="5" t="inlineStr">
        <s:is>
          <s:t>- Costs scale with advisor count / phase, not hired ahead of revenue.</s:t>
        </s:is>
      </s:c>
    </s:row>
    <s:row r="23">
      <s:c r="A23" s="3" t="inlineStr">
        <s:is>
          <s:t>SHEETS</s:t>
        </s:is>
      </s:c>
      <s:c r="B23" s="4" t="inlineStr"/>
    </s:row>
    <s:row r="24">
      <s:c r="A24" s="5" t="inlineStr">
        <s:is>
          <s:t>1. Assumptions — every editable input (blue). Yellow = key levers.</s:t>
        </s:is>
      </s:c>
    </s:row>
    <s:row r="25">
      <s:c r="A25" s="5" t="inlineStr">
        <s:is>
          <s:t>2. Joe Loan — drawdown, PIK interest accrual, and the cash-flow sweep repayment.</s:t>
        </s:is>
      </s:c>
    </s:row>
    <s:row r="26">
      <s:c r="A26" s="5" t="inlineStr">
        <s:is>
          <s:t>3. Monthly Cash Flow — the base case, Mo 0-18 (Aug-26 -&gt; Feb-28).</s:t>
        </s:is>
      </s:c>
    </s:row>
    <s:row r="27">
      <s:c r="A27" s="5" t="inlineStr">
        <s:is>
          <s:t>4. Dashboard — one-screen read: loan payoff, cash trough, self-funding milestones, traction.</s:t>
        </s:is>
      </s:c>
    </s:row>
    <s:row r="28">
      <s:c r="A28" s="5" t="inlineStr">
        <s:is>
          <s:t>5. SaaS Metrics — unit economics (ARPU, LTV, CAC payback, LTV:CAC, Rule of 40).</s:t>
        </s:is>
      </s:c>
    </s:row>
    <s:row r="29">
      <s:c r="A29" s="5" t="inlineStr">
        <s:is>
          <s:t>6. Downside (Slow GTM) — ramp slips 2 mo + adds haircut; tests loan survival, sizes any top-up.</s:t>
        </s:is>
      </s:c>
    </s:row>
    <s:row r="31">
      <s:c r="A31" s="3" t="inlineStr">
        <s:is>
          <s:t>COLOR LEGEND</s:t>
        </s:is>
      </s:c>
      <s:c r="B31" s="4" t="inlineStr"/>
    </s:row>
    <s:row r="32">
      <s:c r="A32" s="5" t="inlineStr">
        <s:is>
          <s:t>BLUE text = hardcoded input (edit to run scenarios).   BLACK = formula.</s:t>
        </s:is>
      </s:c>
    </s:row>
    <s:row r="33">
      <s:c r="A33" s="5" t="inlineStr">
        <s:is>
          <s:t>GREEN text = cross-sheet link.   YELLOW fill = key lever flagged for review.</s:t>
        </s:is>
      </s:c>
    </s:row>
    <s:row r="35">
      <s:c r="A35" s="5" t="inlineStr">
        <s:is>
          <s:t>Note: numbers recalculate when you open in Excel or Google Sheets. All formulas were</s:t>
        </s:is>
      </s:c>
    </s:row>
    <s:row r="36">
      <s:c r="A36" s="5" t="inlineStr">
        <s:is>
          <s:t>independently verified cell-by-cell before delivery.</s:t>
        </s:is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T84"/>
  <s:sheetViews>
    <s:sheetView showGridLines="0" workbookViewId="0">
      <s:pane ySplit="2" topLeftCell="A3" activePane="bottomLeft" state="frozen"/>
      <s:selection pane="bottomLeft" activeCell="A1" sqref="A1"/>
    </s:sheetView>
  </s:sheetViews>
  <s:sheetFormatPr baseColWidth="8" defaultRowHeight="15"/>
  <s:cols>
    <s:col width="44" customWidth="1" min="1" max="1"/>
    <s:col width="13" customWidth="1" min="2" max="2"/>
    <s:col width="52" customWidth="1" min="3" max="3"/>
  </s:cols>
  <s:sheetData>
    <s:row r="1" ht="14" customHeight="1">
      <s:c r="A1" s="1" t="inlineStr">
        <s:is>
          <s:t>ExitBlueprint — Assumptions (Bootstrap Plan)</s:t>
        </s:is>
      </s:c>
      <s:c r="B1" s="2" t="inlineStr"/>
      <s:c r="C1" s="2" t="inlineStr"/>
      <s:c r="D1" s="2" t="inlineStr"/>
      <s:c r="E1" s="2" t="inlineStr"/>
      <s:c r="F1" s="2" t="inlineStr"/>
      <s:c r="G1" s="2" t="inlineStr"/>
      <s:c r="H1" s="2" t="inlineStr"/>
      <s:c r="I1" s="2" t="inlineStr"/>
      <s:c r="J1" s="2" t="inlineStr"/>
      <s:c r="K1" s="2" t="inlineStr"/>
      <s:c r="L1" s="2" t="inlineStr"/>
      <s:c r="M1" s="2" t="inlineStr"/>
      <s:c r="N1" s="2" t="inlineStr"/>
      <s:c r="O1" s="2" t="inlineStr"/>
      <s:c r="P1" s="2" t="inlineStr"/>
      <s:c r="Q1" s="2" t="inlineStr"/>
      <s:c r="R1" s="2" t="inlineStr"/>
      <s:c r="S1" s="2" t="inlineStr"/>
      <s:c r="T1" s="2" t="inlineStr"/>
    </s:row>
    <s:row r="2" ht="14" customHeight="1">
      <s:c r="A2" s="6" t="inlineStr">
        <s:is>
          <s:t>Edit BLUE cells to run scenarios. All other sheets pull from here. YELLOW = key lever.</s:t>
        </s:is>
      </s:c>
    </s:row>
    <s:row r="3" ht="14" customHeight="1">
      <s:c r="A3" s="3" t="inlineStr">
        <s:is>
          <s:t>CAPITAL STRUCTURE — BOOTSTRAP LOAN FROM JOE</s:t>
        </s:is>
      </s:c>
      <s:c r="B3" s="4" t="inlineStr"/>
      <s:c r="C3" s="4" t="inlineStr"/>
      <s:c r="D3" s="4" t="inlineStr"/>
      <s:c r="E3" s="4" t="inlineStr"/>
      <s:c r="F3" s="4" t="inlineStr"/>
      <s:c r="G3" s="4" t="inlineStr"/>
      <s:c r="H3" s="4" t="inlineStr"/>
      <s:c r="I3" s="4" t="inlineStr"/>
      <s:c r="J3" s="4" t="inlineStr"/>
      <s:c r="K3" s="4" t="inlineStr"/>
      <s:c r="L3" s="4" t="inlineStr"/>
      <s:c r="M3" s="4" t="inlineStr"/>
      <s:c r="N3" s="4" t="inlineStr"/>
      <s:c r="O3" s="4" t="inlineStr"/>
      <s:c r="P3" s="4" t="inlineStr"/>
      <s:c r="Q3" s="4" t="inlineStr"/>
      <s:c r="R3" s="4" t="inlineStr"/>
      <s:c r="S3" s="4" t="inlineStr"/>
      <s:c r="T3" s="4" t="inlineStr"/>
    </s:row>
    <s:row r="4" ht="14" customHeight="1">
      <s:c r="A4" s="5" t="inlineStr">
        <s:is>
          <s:t>Joe bootstrap loan — principal</s:t>
        </s:is>
      </s:c>
      <s:c r="B4" s="7" t="n">
        <s:v>55000</s:v>
      </s:c>
      <s:c r="C4" s="8" t="inlineStr">
        <s:is>
          <s:t>Sized to peak cash trough (-$39k, Mo 3) + buffer. Founder loan, no equity taken.</s:t>
        </s:is>
      </s:c>
    </s:row>
    <s:row r="5" ht="14" customHeight="1">
      <s:c r="A5" s="5" t="inlineStr">
        <s:is>
          <s:t>Joe loan — annual interest rate</s:t>
        </s:is>
      </s:c>
      <s:c r="B5" s="9" t="n">
        <s:v>0.06</s:v>
      </s:c>
      <s:c r="C5" s="8" t="inlineStr">
        <s:is>
          <s:t>Founder-friendly; keep &gt;= IRS AFR to avoid imputed interest. Accrues until repaid.</s:t>
        </s:is>
      </s:c>
    </s:row>
    <s:row r="6" ht="14" customHeight="1">
      <s:c r="A6" s="5" t="inlineStr">
        <s:is>
          <s:t>Joe loan — funding month (index)</s:t>
        </s:is>
      </s:c>
      <s:c r="B6" s="10" t="n">
        <s:v>0</s:v>
      </s:c>
      <s:c r="C6" s="8" t="inlineStr">
        <s:is>
          <s:t>Mo 0 = Aug 2026 (on signing)</s:t>
        </s:is>
      </s:c>
    </s:row>
    <s:row r="7" ht="14" customHeight="1">
      <s:c r="A7" s="5" t="inlineStr">
        <s:is>
          <s:t>Minimum cash buffer to hold</s:t>
        </s:is>
      </s:c>
      <s:c r="B7" s="7" t="n">
        <s:v>15000</s:v>
      </s:c>
      <s:c r="C7" s="8" t="inlineStr">
        <s:is>
          <s:t>Repayment sweep never draws ending cash below this floor.</s:t>
        </s:is>
      </s:c>
    </s:row>
    <s:row r="8" ht="14" customHeight="1">
      <s:c r="A8" s="5" t="inlineStr">
        <s:is>
          <s:t>Repay Joe from surplus cash? (1=yes,0=no)</s:t>
        </s:is>
      </s:c>
      <s:c r="B8" s="10" t="n">
        <s:v>1</s:v>
      </s:c>
      <s:c r="C8" s="8" t="inlineStr">
        <s:is>
          <s:t>When on, surplus above buffer sweeps to repay Joe (principal+accrued interest).</s:t>
        </s:is>
      </s:c>
    </s:row>
    <s:row r="9" ht="14" customHeight="1"/>
    <s:row r="10" ht="14" customHeight="1">
      <s:c r="A10" s="3" t="inlineStr">
        <s:is>
          <s:t>FOUNDER COMPENSATION</s:t>
        </s:is>
      </s:c>
      <s:c r="B10" s="4" t="inlineStr"/>
      <s:c r="C10" s="4" t="inlineStr"/>
      <s:c r="D10" s="4" t="inlineStr"/>
      <s:c r="E10" s="4" t="inlineStr"/>
      <s:c r="F10" s="4" t="inlineStr"/>
      <s:c r="G10" s="4" t="inlineStr"/>
      <s:c r="H10" s="4" t="inlineStr"/>
      <s:c r="I10" s="4" t="inlineStr"/>
      <s:c r="J10" s="4" t="inlineStr"/>
      <s:c r="K10" s="4" t="inlineStr"/>
      <s:c r="L10" s="4" t="inlineStr"/>
      <s:c r="M10" s="4" t="inlineStr"/>
      <s:c r="N10" s="4" t="inlineStr"/>
      <s:c r="O10" s="4" t="inlineStr"/>
      <s:c r="P10" s="4" t="inlineStr"/>
      <s:c r="Q10" s="4" t="inlineStr"/>
      <s:c r="R10" s="4" t="inlineStr"/>
      <s:c r="S10" s="4" t="inlineStr"/>
      <s:c r="T10" s="4" t="inlineStr"/>
    </s:row>
    <s:row r="11" ht="14" customHeight="1">
      <s:c r="A11" s="5" t="inlineStr">
        <s:is>
          <s:t>Founder draw target — Matthew ($/mo)</s:t>
        </s:is>
      </s:c>
      <s:c r="B11" s="7" t="n">
        <s:v>5000</s:v>
      </s:c>
      <s:c r="C11" s="8" t="inlineStr">
        <s:is>
          <s:t>Draws are OFF until gross profit &gt;= this amount (see trigger).</s:t>
        </s:is>
      </s:c>
    </s:row>
    <s:row r="12" ht="14" customHeight="1">
      <s:c r="A12" s="11" t="inlineStr">
        <s:is>
          <s:t>Draw trigger: gross profit (MRR less processing) &gt;= draw target</s:t>
        </s:is>
      </s:c>
      <s:c r="C12" s="8" t="inlineStr">
        <s:is>
          <s:t>So a draw never pushes cash negative on its own. Latches ON once met.</s:t>
        </s:is>
      </s:c>
    </s:row>
    <s:row r="13" ht="14" customHeight="1">
      <s:c r="A13" s="5" t="inlineStr">
        <s:is>
          <s:t>Joe deferred comp — accrued, NON-CASH ($/mo)</s:t>
        </s:is>
      </s:c>
      <s:c r="B13" s="12" t="n">
        <s:v>0</s:v>
      </s:c>
      <s:c r="C13" s="8" t="inlineStr">
        <s:is>
          <s:t>Tracked on the books, not paid in cash. Default 0; Joe's stake is the loan.</s:t>
        </s:is>
      </s:c>
    </s:row>
    <s:row r="14" ht="14" customHeight="1"/>
    <s:row r="15" ht="14" customHeight="1">
      <s:c r="A15" s="3" t="inlineStr">
        <s:is>
          <s:t>PRE-LAUNCH ONE-TIME COSTS (Mo 0)</s:t>
        </s:is>
      </s:c>
      <s:c r="B15" s="4" t="inlineStr"/>
      <s:c r="C15" s="4" t="inlineStr"/>
      <s:c r="D15" s="4" t="inlineStr"/>
      <s:c r="E15" s="4" t="inlineStr"/>
      <s:c r="F15" s="4" t="inlineStr"/>
      <s:c r="G15" s="4" t="inlineStr"/>
      <s:c r="H15" s="4" t="inlineStr"/>
      <s:c r="I15" s="4" t="inlineStr"/>
      <s:c r="J15" s="4" t="inlineStr"/>
      <s:c r="K15" s="4" t="inlineStr"/>
      <s:c r="L15" s="4" t="inlineStr"/>
      <s:c r="M15" s="4" t="inlineStr"/>
      <s:c r="N15" s="4" t="inlineStr"/>
      <s:c r="O15" s="4" t="inlineStr"/>
      <s:c r="P15" s="4" t="inlineStr"/>
      <s:c r="Q15" s="4" t="inlineStr"/>
      <s:c r="R15" s="4" t="inlineStr"/>
      <s:c r="S15" s="4" t="inlineStr"/>
      <s:c r="T15" s="4" t="inlineStr"/>
    </s:row>
    <s:row r="16" ht="14" customHeight="1">
      <s:c r="A16" s="5" t="inlineStr">
        <s:is>
          <s:t>Legal — Entity formation &amp; filing</s:t>
        </s:is>
      </s:c>
      <s:c r="B16" s="12" t="n">
        <s:v>1500</s:v>
      </s:c>
      <s:c r="C16" s="8" t="inlineStr">
        <s:is>
          <s:t>LLC/Corp setup, EIN, state filings</s:t>
        </s:is>
      </s:c>
    </s:row>
    <s:row r="17" ht="14" customHeight="1">
      <s:c r="A17" s="5" t="inlineStr">
        <s:is>
          <s:t>Legal — Operating Agreement</s:t>
        </s:is>
      </s:c>
      <s:c r="B17" s="12" t="n">
        <s:v>3000</s:v>
      </s:c>
      <s:c r="C17" s="8" t="inlineStr">
        <s:is>
          <s:t>Multi-member OA incl. Joe loan terms</s:t>
        </s:is>
      </s:c>
    </s:row>
    <s:row r="18" ht="14" customHeight="1">
      <s:c r="A18" s="5" t="inlineStr">
        <s:is>
          <s:t>Legal — Trademark / IP</s:t>
        </s:is>
      </s:c>
      <s:c r="B18" s="12" t="n">
        <s:v>3500</s:v>
      </s:c>
      <s:c r="C18" s="8" t="inlineStr">
        <s:is>
          <s:t>Mark search + USPTO filing; IP assignment</s:t>
        </s:is>
      </s:c>
    </s:row>
    <s:row r="19" ht="14" customHeight="1">
      <s:c r="A19" s="5" t="inlineStr">
        <s:is>
          <s:t>Legal — Terms of Service / Privacy Policy</s:t>
        </s:is>
      </s:c>
      <s:c r="B19" s="12" t="n">
        <s:v>2000</s:v>
      </s:c>
      <s:c r="C19" s="8" t="inlineStr">
        <s:is>
          <s:t>ToS, Privacy, DPA templates</s:t>
        </s:is>
      </s:c>
    </s:row>
    <s:row r="20" ht="14" customHeight="1">
      <s:c r="A20" s="5" t="inlineStr">
        <s:is>
          <s:t>SOC 2 — Year 1 setup (all-in)</s:t>
        </s:is>
      </s:c>
      <s:c r="B20" s="12" t="n">
        <s:v>20000</s:v>
      </s:c>
      <s:c r="C20" s="8" t="inlineStr">
        <s:is>
          <s:t>Spread over first months (below)</s:t>
        </s:is>
      </s:c>
    </s:row>
    <s:row r="21" ht="14" customHeight="1">
      <s:c r="A21" s="5" t="inlineStr">
        <s:is>
          <s:t>SOC 2 setup — months to spread over</s:t>
        </s:is>
      </s:c>
      <s:c r="B21" s="10" t="n">
        <s:v>3</s:v>
      </s:c>
      <s:c r="C21" s="8" t="inlineStr">
        <s:is>
          <s:t>Mo 0-2</s:t>
        </s:is>
      </s:c>
    </s:row>
    <s:row r="22" ht="14" customHeight="1"/>
    <s:row r="23" ht="14" customHeight="1">
      <s:c r="A23" s="3" t="inlineStr">
        <s:is>
          <s:t>MONTHLY RECURRING — FIXED (LEAN)</s:t>
        </s:is>
      </s:c>
      <s:c r="B23" s="4" t="inlineStr"/>
      <s:c r="C23" s="4" t="inlineStr"/>
      <s:c r="D23" s="4" t="inlineStr"/>
      <s:c r="E23" s="4" t="inlineStr"/>
      <s:c r="F23" s="4" t="inlineStr"/>
      <s:c r="G23" s="4" t="inlineStr"/>
      <s:c r="H23" s="4" t="inlineStr"/>
      <s:c r="I23" s="4" t="inlineStr"/>
      <s:c r="J23" s="4" t="inlineStr"/>
      <s:c r="K23" s="4" t="inlineStr"/>
      <s:c r="L23" s="4" t="inlineStr"/>
      <s:c r="M23" s="4" t="inlineStr"/>
      <s:c r="N23" s="4" t="inlineStr"/>
      <s:c r="O23" s="4" t="inlineStr"/>
      <s:c r="P23" s="4" t="inlineStr"/>
      <s:c r="Q23" s="4" t="inlineStr"/>
      <s:c r="R23" s="4" t="inlineStr"/>
      <s:c r="S23" s="4" t="inlineStr"/>
      <s:c r="T23" s="4" t="inlineStr"/>
    </s:row>
    <s:row r="24" ht="14" customHeight="1">
      <s:c r="A24" s="5" t="inlineStr">
        <s:is>
          <s:t>Bloom Growth (EOS platform)</s:t>
        </s:is>
      </s:c>
      <s:c r="B24" s="12" t="n">
        <s:v>299</s:v>
      </s:c>
      <s:c r="C24" s="8" t="inlineStr">
        <s:is>
          <s:t>Ops/planning platform</s:t>
        </s:is>
      </s:c>
    </s:row>
    <s:row r="25" ht="14" customHeight="1">
      <s:c r="A25" s="5" t="inlineStr">
        <s:is>
          <s:t>SOC 2 platform (annual / 12)</s:t>
        </s:is>
      </s:c>
      <s:c r="B25" s="12" t="n">
        <s:v>1667</s:v>
      </s:c>
      <s:c r="C25" s="8" t="inlineStr">
        <s:is>
          <s:t>Compliance tooling amortized monthly</s:t>
        </s:is>
      </s:c>
    </s:row>
    <s:row r="26" ht="14" customHeight="1"/>
    <s:row r="27" ht="14" customHeight="1">
      <s:c r="A27" s="3" t="inlineStr">
        <s:is>
          <s:t>SCALE-DRIVEN OPEX — TIERS</s:t>
        </s:is>
      </s:c>
      <s:c r="B27" s="4" t="inlineStr"/>
      <s:c r="C27" s="4" t="inlineStr"/>
      <s:c r="D27" s="4" t="inlineStr"/>
      <s:c r="E27" s="4" t="inlineStr"/>
      <s:c r="F27" s="4" t="inlineStr"/>
      <s:c r="G27" s="4" t="inlineStr"/>
      <s:c r="H27" s="4" t="inlineStr"/>
      <s:c r="I27" s="4" t="inlineStr"/>
      <s:c r="J27" s="4" t="inlineStr"/>
      <s:c r="K27" s="4" t="inlineStr"/>
      <s:c r="L27" s="4" t="inlineStr"/>
      <s:c r="M27" s="4" t="inlineStr"/>
      <s:c r="N27" s="4" t="inlineStr"/>
      <s:c r="O27" s="4" t="inlineStr"/>
      <s:c r="P27" s="4" t="inlineStr"/>
      <s:c r="Q27" s="4" t="inlineStr"/>
      <s:c r="R27" s="4" t="inlineStr"/>
      <s:c r="S27" s="4" t="inlineStr"/>
      <s:c r="T27" s="4" t="inlineStr"/>
    </s:row>
    <s:row r="28" ht="14" customHeight="1">
      <s:c r="A28" s="13" t="inlineStr">
        <s:is>
          <s:t xml:space="preserve">  Hosting / Infrastructure (by total advisors)</s:t>
        </s:is>
      </s:c>
    </s:row>
    <s:row r="29" ht="14" customHeight="1">
      <s:c r="A29" s="5" t="inlineStr">
        <s:is>
          <s:t>Hosting T1: 0-50 advisors</s:t>
        </s:is>
      </s:c>
      <s:c r="B29" s="12" t="n">
        <s:v>500</s:v>
      </s:c>
      <s:c r="C29" s="8" t="inlineStr">
        <s:is>
          <s:t>Basic cloud</s:t>
        </s:is>
      </s:c>
    </s:row>
    <s:row r="30" ht="14" customHeight="1">
      <s:c r="A30" s="5" t="inlineStr">
        <s:is>
          <s:t>Hosting T2: 51-150</s:t>
        </s:is>
      </s:c>
      <s:c r="B30" s="12" t="n">
        <s:v>1500</s:v>
      </s:c>
      <s:c r="C30" s="8" t="inlineStr">
        <s:is>
          <s:t>Scaled compute + backups</s:t>
        </s:is>
      </s:c>
    </s:row>
    <s:row r="31" ht="14" customHeight="1">
      <s:c r="A31" s="5" t="inlineStr">
        <s:is>
          <s:t>Hosting T3: 151-500</s:t>
        </s:is>
      </s:c>
      <s:c r="B31" s="12" t="n">
        <s:v>3000</s:v>
      </s:c>
      <s:c r="C31" s="8" t="inlineStr">
        <s:is>
          <s:t>Auto-scaling infra</s:t>
        </s:is>
      </s:c>
    </s:row>
    <s:row r="32" ht="14" customHeight="1">
      <s:c r="A32" s="5" t="inlineStr">
        <s:is>
          <s:t>Hosting T4: 501+</s:t>
        </s:is>
      </s:c>
      <s:c r="B32" s="12" t="n">
        <s:v>8000</s:v>
      </s:c>
      <s:c r="C32" s="8" t="inlineStr">
        <s:is>
          <s:t>Enterprise-grade</s:t>
        </s:is>
      </s:c>
    </s:row>
    <s:row r="33" ht="14" customHeight="1">
      <s:c r="A33" s="13" t="inlineStr">
        <s:is>
          <s:t xml:space="preserve">  Contractor / Intern pool (by total advisors)</s:t>
        </s:is>
      </s:c>
    </s:row>
    <s:row r="34" ht="14" customHeight="1">
      <s:c r="A34" s="5" t="inlineStr">
        <s:is>
          <s:t>Pool T1: 0-25 advisors</s:t>
        </s:is>
      </s:c>
      <s:c r="B34" s="12" t="n">
        <s:v>0</s:v>
      </s:c>
      <s:c r="C34" s="8" t="inlineStr">
        <s:is>
          <s:t>Founder covers; no spend pre-traction</s:t>
        </s:is>
      </s:c>
    </s:row>
    <s:row r="35" ht="14" customHeight="1">
      <s:c r="A35" s="5" t="inlineStr">
        <s:is>
          <s:t>Pool T2: 26-100</s:t>
        </s:is>
      </s:c>
      <s:c r="B35" s="12" t="n">
        <s:v>1500</s:v>
      </s:c>
      <s:c r="C35" s="8" t="inlineStr">
        <s:is>
          <s:t>~75 hrs/mo support &amp; onboarding</s:t>
        </s:is>
      </s:c>
    </s:row>
    <s:row r="36" ht="14" customHeight="1">
      <s:c r="A36" s="5" t="inlineStr">
        <s:is>
          <s:t>Pool T3: 101-300</s:t>
        </s:is>
      </s:c>
      <s:c r="B36" s="12" t="n">
        <s:v>3500</s:v>
      </s:c>
      <s:c r="C36" s="8" t="inlineStr">
        <s:is>
          <s:t>Dedicated part-time support</s:t>
        </s:is>
      </s:c>
    </s:row>
    <s:row r="37" ht="14" customHeight="1">
      <s:c r="A37" s="5" t="inlineStr">
        <s:is>
          <s:t>Pool T4: 301+</s:t>
        </s:is>
      </s:c>
      <s:c r="B37" s="12" t="n">
        <s:v>6000</s:v>
      </s:c>
      <s:c r="C37" s="8" t="inlineStr">
        <s:is>
          <s:t>Near-FTE contractor coverage</s:t>
        </s:is>
      </s:c>
    </s:row>
    <s:row r="38" ht="14" customHeight="1">
      <s:c r="A38" s="13" t="inlineStr">
        <s:is>
          <s:t xml:space="preserve">  Customer Success &amp; Support (by month)</s:t>
        </s:is>
      </s:c>
    </s:row>
    <s:row r="39" ht="14" customHeight="1">
      <s:c r="A39" s="5" t="inlineStr">
        <s:is>
          <s:t>CS&amp;Support Phase 0: Mo 0-5</s:t>
        </s:is>
      </s:c>
      <s:c r="B39" s="12" t="n">
        <s:v>0</s:v>
      </s:c>
      <s:c r="C39" s="8" t="inlineStr">
        <s:is>
          <s:t>Founder + tools cover</s:t>
        </s:is>
      </s:c>
    </s:row>
    <s:row r="40" ht="14" customHeight="1">
      <s:c r="A40" s="5" t="inlineStr">
        <s:is>
          <s:t>CS&amp;Support Phase 1: Mo 6-11</s:t>
        </s:is>
      </s:c>
      <s:c r="B40" s="12" t="n">
        <s:v>1500</s:v>
      </s:c>
      <s:c r="C40" s="8" t="inlineStr">
        <s:is>
          <s:t>Part-time contractor + helpdesk tools</s:t>
        </s:is>
      </s:c>
    </s:row>
    <s:row r="41" ht="14" customHeight="1">
      <s:c r="A41" s="5" t="inlineStr">
        <s:is>
          <s:t>CS&amp;Support Phase 2: Mo 12+</s:t>
        </s:is>
      </s:c>
      <s:c r="B41" s="12" t="n">
        <s:v>3500</s:v>
      </s:c>
      <s:c r="C41" s="8" t="inlineStr">
        <s:is>
          <s:t>Support lead as base scales</s:t>
        </s:is>
      </s:c>
    </s:row>
    <s:row r="42" ht="14" customHeight="1">
      <s:c r="A42" s="13" t="inlineStr">
        <s:is>
          <s:t xml:space="preserve">  Tools / SaaS stack (by month)</s:t>
        </s:is>
      </s:c>
    </s:row>
    <s:row r="43" ht="14" customHeight="1">
      <s:c r="A43" s="5" t="inlineStr">
        <s:is>
          <s:t>Tools Phase 0: Mo 0-5</s:t>
        </s:is>
      </s:c>
      <s:c r="B43" s="12" t="n">
        <s:v>500</s:v>
      </s:c>
      <s:c r="C43" s="8" t="inlineStr">
        <s:is>
          <s:t>Hosting-adjacent, monitoring, comms</s:t>
        </s:is>
      </s:c>
    </s:row>
    <s:row r="44" ht="14" customHeight="1">
      <s:c r="A44" s="5" t="inlineStr">
        <s:is>
          <s:t>Tools Phase 1: Mo 6+</s:t>
        </s:is>
      </s:c>
      <s:c r="B44" s="12" t="n">
        <s:v>1000</s:v>
      </s:c>
      <s:c r="C44" s="8" t="inlineStr">
        <s:is>
          <s:t>Analytics, CRM, expanded stack</s:t>
        </s:is>
      </s:c>
    </s:row>
    <s:row r="45" ht="14" customHeight="1">
      <s:c r="A45" s="13" t="inlineStr">
        <s:is>
          <s:t xml:space="preserve">  Marketing spend ramp ($750 -&gt; $3k cap)</s:t>
        </s:is>
      </s:c>
    </s:row>
    <s:row r="46" ht="14" customHeight="1">
      <s:c r="A46" s="5" t="inlineStr">
        <s:is>
          <s:t>Marketing Mo 0-1 (first 2 months)</s:t>
        </s:is>
      </s:c>
      <s:c r="B46" s="7" t="n">
        <s:v>750</s:v>
      </s:c>
      <s:c r="C46" s="8" t="inlineStr">
        <s:is>
          <s:t>Initial content/LinkedIn while software matures</s:t>
        </s:is>
      </s:c>
    </s:row>
    <s:row r="47" ht="14" customHeight="1">
      <s:c r="A47" s="5" t="inlineStr">
        <s:is>
          <s:t>Marketing Mo 2</s:t>
        </s:is>
      </s:c>
      <s:c r="B47" s="7" t="n">
        <s:v>1500</s:v>
      </s:c>
      <s:c r="C47" s="8" t="inlineStr">
        <s:is>
          <s:t>Step up as software develops</s:t>
        </s:is>
      </s:c>
    </s:row>
    <s:row r="48" ht="14" customHeight="1">
      <s:c r="A48" s="5" t="inlineStr">
        <s:is>
          <s:t>Marketing Mo 3</s:t>
        </s:is>
      </s:c>
      <s:c r="B48" s="7" t="n">
        <s:v>2250</s:v>
      </s:c>
      <s:c r="C48" s="8" t="inlineStr">
        <s:is>
          <s:t>Continue ramp</s:t>
        </s:is>
      </s:c>
    </s:row>
    <s:row r="49" ht="14" customHeight="1">
      <s:c r="A49" s="5" t="inlineStr">
        <s:is>
          <s:t>Marketing Mo 4+ (cap)</s:t>
        </s:is>
      </s:c>
      <s:c r="B49" s="7" t="n">
        <s:v>3000</s:v>
      </s:c>
      <s:c r="C49" s="8" t="inlineStr">
        <s:is>
          <s:t>Steady-state cap</s:t>
        </s:is>
      </s:c>
    </s:row>
    <s:row r="50" ht="14" customHeight="1"/>
    <s:row r="51" ht="14" customHeight="1">
      <s:c r="A51" s="5" t="inlineStr">
        <s:is>
          <s:t>Payment processing (% of MRR)</s:t>
        </s:is>
      </s:c>
      <s:c r="B51" s="14" t="n">
        <s:v>0.029</s:v>
      </s:c>
      <s:c r="C51" s="8" t="inlineStr">
        <s:is>
          <s:t>Stripe standard ~2.9%</s:t>
        </s:is>
      </s:c>
    </s:row>
    <s:row r="52" ht="14" customHeight="1"/>
    <s:row r="53" ht="14" customHeight="1">
      <s:c r="A53" s="3" t="inlineStr">
        <s:is>
          <s:t>REVENUE MODEL — ADVISORS</s:t>
        </s:is>
      </s:c>
      <s:c r="B53" s="4" t="inlineStr"/>
      <s:c r="C53" s="4" t="inlineStr"/>
      <s:c r="D53" s="4" t="inlineStr"/>
      <s:c r="E53" s="4" t="inlineStr"/>
      <s:c r="F53" s="4" t="inlineStr"/>
      <s:c r="G53" s="4" t="inlineStr"/>
      <s:c r="H53" s="4" t="inlineStr"/>
      <s:c r="I53" s="4" t="inlineStr"/>
      <s:c r="J53" s="4" t="inlineStr"/>
      <s:c r="K53" s="4" t="inlineStr"/>
      <s:c r="L53" s="4" t="inlineStr"/>
      <s:c r="M53" s="4" t="inlineStr"/>
      <s:c r="N53" s="4" t="inlineStr"/>
      <s:c r="O53" s="4" t="inlineStr"/>
      <s:c r="P53" s="4" t="inlineStr"/>
      <s:c r="Q53" s="4" t="inlineStr"/>
      <s:c r="R53" s="4" t="inlineStr"/>
      <s:c r="S53" s="4" t="inlineStr"/>
      <s:c r="T53" s="4" t="inlineStr"/>
    </s:row>
    <s:row r="54" ht="14" customHeight="1">
      <s:c r="A54" s="5" t="inlineStr">
        <s:is>
          <s:t>Founding advisor price ($/mo)</s:t>
        </s:is>
      </s:c>
      <s:c r="B54" s="12" t="n">
        <s:v>199</s:v>
      </s:c>
      <s:c r="C54" s="8" t="inlineStr">
        <s:is>
          <s:t>Discounted beta rate</s:t>
        </s:is>
      </s:c>
    </s:row>
    <s:row r="55" ht="14" customHeight="1">
      <s:c r="A55" s="5" t="inlineStr">
        <s:is>
          <s:t>Standard advisor price ($/mo)</s:t>
        </s:is>
      </s:c>
      <s:c r="B55" s="12" t="n">
        <s:v>499</s:v>
      </s:c>
      <s:c r="C55" s="8" t="inlineStr">
        <s:is>
          <s:t>Full price post-launch</s:t>
        </s:is>
      </s:c>
    </s:row>
    <s:row r="56" ht="14" customHeight="1">
      <s:c r="A56" s="5" t="inlineStr">
        <s:is>
          <s:t>Founding batch 1 (Mo 1 = GTM, Sep-26)</s:t>
        </s:is>
      </s:c>
      <s:c r="B56" s="10" t="n">
        <s:v>10</s:v>
      </s:c>
      <s:c r="C56" s="8" t="inlineStr">
        <s:is>
          <s:t>First cohort at go-to-market</s:t>
        </s:is>
      </s:c>
    </s:row>
    <s:row r="57" ht="14" customHeight="1">
      <s:c r="A57" s="5" t="inlineStr">
        <s:is>
          <s:t>Founding batch 2 (Mo 2, Oct-26)</s:t>
        </s:is>
      </s:c>
      <s:c r="B57" s="10" t="n">
        <s:v>10</s:v>
      </s:c>
      <s:c r="C57" s="8" t="inlineStr">
        <s:is>
          <s:t>Second wave</s:t>
        </s:is>
      </s:c>
    </s:row>
    <s:row r="58" ht="14" customHeight="1">
      <s:c r="A58" s="13" t="inlineStr">
        <s:is>
          <s:t xml:space="preserve">  Standard advisor NET ADDS by month</s:t>
        </s:is>
      </s:c>
    </s:row>
    <s:row r="59" ht="14" customHeight="1">
      <s:c r="A59" s="5" t="inlineStr">
        <s:is>
          <s:t>Mo 3 (Nov-26) net adds</s:t>
        </s:is>
      </s:c>
      <s:c r="B59" s="10" t="n">
        <s:v>10</s:v>
      </s:c>
    </s:row>
    <s:row r="60" ht="14" customHeight="1">
      <s:c r="A60" s="5" t="inlineStr">
        <s:is>
          <s:t>Mo 4 (Dec-26) net adds</s:t>
        </s:is>
      </s:c>
      <s:c r="B60" s="10" t="n">
        <s:v>17</s:v>
      </s:c>
    </s:row>
    <s:row r="61" ht="14" customHeight="1">
      <s:c r="A61" s="5" t="inlineStr">
        <s:is>
          <s:t>Mo 5 (Jan-27) net adds</s:t>
        </s:is>
      </s:c>
      <s:c r="B61" s="10" t="n">
        <s:v>24</s:v>
      </s:c>
    </s:row>
    <s:row r="62" ht="14" customHeight="1">
      <s:c r="A62" s="5" t="inlineStr">
        <s:is>
          <s:t>Mo 6 (Feb-27) net adds</s:t>
        </s:is>
      </s:c>
      <s:c r="B62" s="10" t="n">
        <s:v>30</s:v>
      </s:c>
    </s:row>
    <s:row r="63" ht="14" customHeight="1">
      <s:c r="A63" s="5" t="inlineStr">
        <s:is>
          <s:t>Mo 7 (Mar-27) net adds</s:t>
        </s:is>
      </s:c>
      <s:c r="B63" s="10" t="n">
        <s:v>37</s:v>
      </s:c>
    </s:row>
    <s:row r="64" ht="14" customHeight="1">
      <s:c r="A64" s="5" t="inlineStr">
        <s:is>
          <s:t>Mo 8 (Apr-27) net adds</s:t>
        </s:is>
      </s:c>
      <s:c r="B64" s="10" t="n">
        <s:v>44</s:v>
      </s:c>
    </s:row>
    <s:row r="65" ht="14" customHeight="1">
      <s:c r="A65" s="5" t="inlineStr">
        <s:is>
          <s:t>Mo 9 (May-27) net adds</s:t>
        </s:is>
      </s:c>
      <s:c r="B65" s="10" t="n">
        <s:v>51</s:v>
      </s:c>
    </s:row>
    <s:row r="66" ht="14" customHeight="1">
      <s:c r="A66" s="5" t="inlineStr">
        <s:is>
          <s:t>Mo 10 (Jun-27) net adds</s:t>
        </s:is>
      </s:c>
      <s:c r="B66" s="10" t="n">
        <s:v>58</s:v>
      </s:c>
    </s:row>
    <s:row r="67" ht="14" customHeight="1">
      <s:c r="A67" s="5" t="inlineStr">
        <s:is>
          <s:t>Mo 11 (Jul-27) net adds</s:t>
        </s:is>
      </s:c>
      <s:c r="B67" s="10" t="n">
        <s:v>64</s:v>
      </s:c>
    </s:row>
    <s:row r="68" ht="14" customHeight="1">
      <s:c r="A68" s="5" t="inlineStr">
        <s:is>
          <s:t>Mo 12 (Aug-27) net adds</s:t>
        </s:is>
      </s:c>
      <s:c r="B68" s="10" t="n">
        <s:v>71</s:v>
      </s:c>
    </s:row>
    <s:row r="69" ht="14" customHeight="1">
      <s:c r="A69" s="5" t="inlineStr">
        <s:is>
          <s:t>Mo 13 (Sep-27) net adds</s:t>
        </s:is>
      </s:c>
      <s:c r="B69" s="10" t="n">
        <s:v>78</s:v>
      </s:c>
    </s:row>
    <s:row r="70" ht="14" customHeight="1">
      <s:c r="A70" s="5" t="inlineStr">
        <s:is>
          <s:t>Mo 14 (Oct-27) net adds</s:t>
        </s:is>
      </s:c>
      <s:c r="B70" s="10" t="n">
        <s:v>85</s:v>
      </s:c>
    </s:row>
    <s:row r="71" ht="14" customHeight="1">
      <s:c r="A71" s="5" t="inlineStr">
        <s:is>
          <s:t>Mo 15 (Nov-27) net adds</s:t>
        </s:is>
      </s:c>
      <s:c r="B71" s="10" t="n">
        <s:v>91</s:v>
      </s:c>
    </s:row>
    <s:row r="72" ht="14" customHeight="1">
      <s:c r="A72" s="5" t="inlineStr">
        <s:is>
          <s:t>Mo 16 (Dec-27) net adds</s:t>
        </s:is>
      </s:c>
      <s:c r="B72" s="10" t="n">
        <s:v>98</s:v>
      </s:c>
    </s:row>
    <s:row r="73" ht="14" customHeight="1">
      <s:c r="A73" s="5" t="inlineStr">
        <s:is>
          <s:t>Mo 17 (Jan-28) net adds</s:t>
        </s:is>
      </s:c>
      <s:c r="B73" s="10" t="n">
        <s:v>105</s:v>
      </s:c>
    </s:row>
    <s:row r="74" ht="14" customHeight="1">
      <s:c r="A74" s="5" t="inlineStr">
        <s:is>
          <s:t>Mo 18 (Feb-28) net adds</s:t>
        </s:is>
      </s:c>
      <s:c r="B74" s="10" t="n">
        <s:v>112</s:v>
      </s:c>
    </s:row>
    <s:row r="75" ht="14" customHeight="1"/>
    <s:row r="76" ht="14" customHeight="1">
      <s:c r="A76" s="3" t="inlineStr">
        <s:is>
          <s:t>SAAS METRIC INPUTS</s:t>
        </s:is>
      </s:c>
      <s:c r="B76" s="4" t="inlineStr"/>
      <s:c r="C76" s="4" t="inlineStr"/>
      <s:c r="D76" s="4" t="inlineStr"/>
      <s:c r="E76" s="4" t="inlineStr"/>
      <s:c r="F76" s="4" t="inlineStr"/>
      <s:c r="G76" s="4" t="inlineStr"/>
      <s:c r="H76" s="4" t="inlineStr"/>
      <s:c r="I76" s="4" t="inlineStr"/>
      <s:c r="J76" s="4" t="inlineStr"/>
      <s:c r="K76" s="4" t="inlineStr"/>
      <s:c r="L76" s="4" t="inlineStr"/>
      <s:c r="M76" s="4" t="inlineStr"/>
      <s:c r="N76" s="4" t="inlineStr"/>
      <s:c r="O76" s="4" t="inlineStr"/>
      <s:c r="P76" s="4" t="inlineStr"/>
      <s:c r="Q76" s="4" t="inlineStr"/>
      <s:c r="R76" s="4" t="inlineStr"/>
      <s:c r="S76" s="4" t="inlineStr"/>
      <s:c r="T76" s="4" t="inlineStr"/>
    </s:row>
    <s:row r="77" ht="14" customHeight="1">
      <s:c r="A77" s="5" t="inlineStr">
        <s:is>
          <s:t>Monthly logo churn % (standard)</s:t>
        </s:is>
      </s:c>
      <s:c r="B77" s="14" t="n">
        <s:v>0.015</s:v>
      </s:c>
      <s:c r="C77" s="8" t="inlineStr">
        <s:is>
          <s:t>~17%/yr; SMB SaaS norm</s:t>
        </s:is>
      </s:c>
    </s:row>
    <s:row r="78" ht="14" customHeight="1">
      <s:c r="A78" s="5" t="inlineStr">
        <s:is>
          <s:t>Monthly net revenue retention</s:t>
        </s:is>
      </s:c>
      <s:c r="B78" s="14" t="n">
        <s:v>1.005</s:v>
      </s:c>
      <s:c r="C78" s="8" t="inlineStr">
        <s:is>
          <s:t>Slight expansion offsets churn</s:t>
        </s:is>
      </s:c>
    </s:row>
    <s:row r="79" ht="14" customHeight="1">
      <s:c r="A79" s="5" t="inlineStr">
        <s:is>
          <s:t>Blended CAC ($/advisor)</s:t>
        </s:is>
      </s:c>
      <s:c r="B79" s="12" t="n">
        <s:v>350</s:v>
      </s:c>
      <s:c r="C79" s="8" t="inlineStr">
        <s:is>
          <s:t>Marketing / new adds</s:t>
        </s:is>
      </s:c>
    </s:row>
    <s:row r="80" ht="14" customHeight="1"/>
    <s:row r="81" ht="14" customHeight="1">
      <s:c r="A81" s="3" t="inlineStr">
        <s:is>
          <s:t>TIMELINE &amp; MILESTONES</s:t>
        </s:is>
      </s:c>
      <s:c r="B81" s="4" t="inlineStr"/>
      <s:c r="C81" s="4" t="inlineStr"/>
      <s:c r="D81" s="4" t="inlineStr"/>
      <s:c r="E81" s="4" t="inlineStr"/>
      <s:c r="F81" s="4" t="inlineStr"/>
      <s:c r="G81" s="4" t="inlineStr"/>
      <s:c r="H81" s="4" t="inlineStr"/>
      <s:c r="I81" s="4" t="inlineStr"/>
      <s:c r="J81" s="4" t="inlineStr"/>
      <s:c r="K81" s="4" t="inlineStr"/>
      <s:c r="L81" s="4" t="inlineStr"/>
      <s:c r="M81" s="4" t="inlineStr"/>
      <s:c r="N81" s="4" t="inlineStr"/>
      <s:c r="O81" s="4" t="inlineStr"/>
      <s:c r="P81" s="4" t="inlineStr"/>
      <s:c r="Q81" s="4" t="inlineStr"/>
      <s:c r="R81" s="4" t="inlineStr"/>
      <s:c r="S81" s="4" t="inlineStr"/>
      <s:c r="T81" s="4" t="inlineStr"/>
    </s:row>
    <s:row r="82" ht="14" customHeight="1">
      <s:c r="A82" s="11" t="inlineStr">
        <s:is>
          <s:t>Mo 0 = Aug 2026 (formation &amp; build finalize)</s:t>
        </s:is>
      </s:c>
    </s:row>
    <s:row r="83" ht="14" customHeight="1">
      <s:c r="A83" s="11" t="inlineStr">
        <s:is>
          <s:t>GTM = Mo 1 = Sep 2026</s:t>
        </s:is>
      </s:c>
      <s:c r="C83" s="8" t="inlineStr">
        <s:is>
          <s:t>Right after Labor Day (Mon 9/7/26)</s:t>
        </s:is>
      </s:c>
    </s:row>
    <s:row r="84" ht="14" customHeight="1">
      <s:c r="A84" s="11" t="inlineStr">
        <s:is>
          <s:t>Model horizon = Mo 0-18 (Aug-26 -&gt; Feb-28)</s:t>
        </s:is>
      </s:c>
    </s:row>
    <s:row r="85" ht="14" customHeight="1"/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T15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8" customWidth="1" min="1" max="1"/>
    <s:col width="11" customWidth="1" min="2" max="2"/>
    <s:col width="11" customWidth="1" min="3" max="3"/>
    <s:col width="11" customWidth="1" min="4" max="4"/>
    <s:col width="11" customWidth="1" min="5" max="5"/>
    <s:col width="11" customWidth="1" min="6" max="6"/>
    <s:col width="11" customWidth="1" min="7" max="7"/>
    <s:col width="11" customWidth="1" min="8" max="8"/>
    <s:col width="11" customWidth="1" min="9" max="9"/>
    <s:col width="11" customWidth="1" min="10" max="10"/>
    <s:col width="11" customWidth="1" min="11" max="11"/>
    <s:col width="11" customWidth="1" min="12" max="12"/>
    <s:col width="11" customWidth="1" min="13" max="13"/>
    <s:col width="11" customWidth="1" min="14" max="14"/>
    <s:col width="11" customWidth="1" min="15" max="15"/>
    <s:col width="11" customWidth="1" min="16" max="16"/>
    <s:col width="11" customWidth="1" min="17" max="17"/>
    <s:col width="11" customWidth="1" min="18" max="18"/>
    <s:col width="11" customWidth="1" min="19" max="19"/>
    <s:col width="11" customWidth="1" min="20" max="20"/>
    <s:col width="30" customWidth="1" min="21" max="21"/>
  </s:cols>
  <s:sheetData>
    <s:row r="1">
      <s:c r="A1" s="1" t="inlineStr">
        <s:is>
          <s:t>ExitBlueprint — Joe Bootstrap Loan (Accrual + Cash-Flow Sweep)</s:t>
        </s:is>
      </s:c>
      <s:c r="B1" s="2" t="inlineStr"/>
      <s:c r="C1" s="2" t="inlineStr"/>
      <s:c r="D1" s="2" t="inlineStr"/>
      <s:c r="E1" s="2" t="inlineStr"/>
      <s:c r="F1" s="2" t="inlineStr"/>
      <s:c r="G1" s="2" t="inlineStr"/>
      <s:c r="H1" s="2" t="inlineStr"/>
      <s:c r="I1" s="2" t="inlineStr"/>
      <s:c r="J1" s="2" t="inlineStr"/>
      <s:c r="K1" s="2" t="inlineStr"/>
      <s:c r="L1" s="2" t="inlineStr"/>
      <s:c r="M1" s="2" t="inlineStr"/>
      <s:c r="N1" s="2" t="inlineStr"/>
      <s:c r="O1" s="2" t="inlineStr"/>
      <s:c r="P1" s="2" t="inlineStr"/>
      <s:c r="Q1" s="2" t="inlineStr"/>
      <s:c r="R1" s="2" t="inlineStr"/>
      <s:c r="S1" s="2" t="inlineStr"/>
      <s:c r="T1" s="2" t="inlineStr"/>
    </s:row>
    <s:row r="2">
      <s:c r="A2" s="15" t="inlineStr">
        <s:is>
          <s:t>Line Item</s:t>
        </s:is>
      </s:c>
      <s:c r="B2" s="16" t="inlineStr">
        <s:is>
          <s:t>Mo 0</s:t>
        </s:is>
      </s:c>
      <s:c r="C2" s="16" t="inlineStr">
        <s:is>
          <s:t>Mo 1</s:t>
        </s:is>
      </s:c>
      <s:c r="D2" s="16" t="inlineStr">
        <s:is>
          <s:t>Mo 2</s:t>
        </s:is>
      </s:c>
      <s:c r="E2" s="16" t="inlineStr">
        <s:is>
          <s:t>Mo 3</s:t>
        </s:is>
      </s:c>
      <s:c r="F2" s="16" t="inlineStr">
        <s:is>
          <s:t>Mo 4</s:t>
        </s:is>
      </s:c>
      <s:c r="G2" s="16" t="inlineStr">
        <s:is>
          <s:t>Mo 5</s:t>
        </s:is>
      </s:c>
      <s:c r="H2" s="16" t="inlineStr">
        <s:is>
          <s:t>Mo 6</s:t>
        </s:is>
      </s:c>
      <s:c r="I2" s="16" t="inlineStr">
        <s:is>
          <s:t>Mo 7</s:t>
        </s:is>
      </s:c>
      <s:c r="J2" s="16" t="inlineStr">
        <s:is>
          <s:t>Mo 8</s:t>
        </s:is>
      </s:c>
      <s:c r="K2" s="16" t="inlineStr">
        <s:is>
          <s:t>Mo 9</s:t>
        </s:is>
      </s:c>
      <s:c r="L2" s="16" t="inlineStr">
        <s:is>
          <s:t>Mo 10</s:t>
        </s:is>
      </s:c>
      <s:c r="M2" s="16" t="inlineStr">
        <s:is>
          <s:t>Mo 11</s:t>
        </s:is>
      </s:c>
      <s:c r="N2" s="16" t="inlineStr">
        <s:is>
          <s:t>Mo 12</s:t>
        </s:is>
      </s:c>
      <s:c r="O2" s="16" t="inlineStr">
        <s:is>
          <s:t>Mo 13</s:t>
        </s:is>
      </s:c>
      <s:c r="P2" s="16" t="inlineStr">
        <s:is>
          <s:t>Mo 14</s:t>
        </s:is>
      </s:c>
      <s:c r="Q2" s="16" t="inlineStr">
        <s:is>
          <s:t>Mo 15</s:t>
        </s:is>
      </s:c>
      <s:c r="R2" s="16" t="inlineStr">
        <s:is>
          <s:t>Mo 16</s:t>
        </s:is>
      </s:c>
      <s:c r="S2" s="16" t="inlineStr">
        <s:is>
          <s:t>Mo 17</s:t>
        </s:is>
      </s:c>
      <s:c r="T2" s="17" t="inlineStr">
        <s:is>
          <s:t>Mo 18</s:t>
        </s:is>
      </s:c>
    </s:row>
    <s:row r="3">
      <s:c r="A3" s="18" t="inlineStr">
        <s:is>
          <s:t>Calendar</s:t>
        </s:is>
      </s:c>
      <s:c r="B3" s="19" t="inlineStr">
        <s:is>
          <s:t>Aug-26</s:t>
        </s:is>
      </s:c>
      <s:c r="C3" s="19" t="inlineStr">
        <s:is>
          <s:t>Sep-26</s:t>
        </s:is>
      </s:c>
      <s:c r="D3" s="19" t="inlineStr">
        <s:is>
          <s:t>Oct-26</s:t>
        </s:is>
      </s:c>
      <s:c r="E3" s="19" t="inlineStr">
        <s:is>
          <s:t>Nov-26</s:t>
        </s:is>
      </s:c>
      <s:c r="F3" s="19" t="inlineStr">
        <s:is>
          <s:t>Dec-26</s:t>
        </s:is>
      </s:c>
      <s:c r="G3" s="19" t="inlineStr">
        <s:is>
          <s:t>Jan-27</s:t>
        </s:is>
      </s:c>
      <s:c r="H3" s="19" t="inlineStr">
        <s:is>
          <s:t>Feb-27</s:t>
        </s:is>
      </s:c>
      <s:c r="I3" s="19" t="inlineStr">
        <s:is>
          <s:t>Mar-27</s:t>
        </s:is>
      </s:c>
      <s:c r="J3" s="19" t="inlineStr">
        <s:is>
          <s:t>Apr-27</s:t>
        </s:is>
      </s:c>
      <s:c r="K3" s="19" t="inlineStr">
        <s:is>
          <s:t>May-27</s:t>
        </s:is>
      </s:c>
      <s:c r="L3" s="19" t="inlineStr">
        <s:is>
          <s:t>Jun-27</s:t>
        </s:is>
      </s:c>
      <s:c r="M3" s="19" t="inlineStr">
        <s:is>
          <s:t>Jul-27</s:t>
        </s:is>
      </s:c>
      <s:c r="N3" s="19" t="inlineStr">
        <s:is>
          <s:t>Aug-27</s:t>
        </s:is>
      </s:c>
      <s:c r="O3" s="19" t="inlineStr">
        <s:is>
          <s:t>Sep-27</s:t>
        </s:is>
      </s:c>
      <s:c r="P3" s="19" t="inlineStr">
        <s:is>
          <s:t>Oct-27</s:t>
        </s:is>
      </s:c>
      <s:c r="Q3" s="19" t="inlineStr">
        <s:is>
          <s:t>Nov-27</s:t>
        </s:is>
      </s:c>
      <s:c r="R3" s="19" t="inlineStr">
        <s:is>
          <s:t>Dec-27</s:t>
        </s:is>
      </s:c>
      <s:c r="S3" s="19" t="inlineStr">
        <s:is>
          <s:t>Jan-28</s:t>
        </s:is>
      </s:c>
      <s:c r="T3" s="20" t="inlineStr">
        <s:is>
          <s:t>Feb-28</s:t>
        </s:is>
      </s:c>
    </s:row>
    <s:row r="4">
      <s:c r="A4" s="3" t="inlineStr">
        <s:is>
          <s:t>LOAN STRUCTURE (from Assumptions)</s:t>
        </s:is>
      </s:c>
      <s:c r="B4" s="4" t="inlineStr"/>
      <s:c r="C4" s="4" t="inlineStr"/>
      <s:c r="D4" s="4" t="inlineStr"/>
      <s:c r="E4" s="4" t="inlineStr"/>
      <s:c r="F4" s="4" t="inlineStr"/>
      <s:c r="G4" s="4" t="inlineStr"/>
      <s:c r="H4" s="4" t="inlineStr"/>
      <s:c r="I4" s="4" t="inlineStr"/>
      <s:c r="J4" s="4" t="inlineStr"/>
      <s:c r="K4" s="4" t="inlineStr"/>
      <s:c r="L4" s="4" t="inlineStr"/>
      <s:c r="M4" s="4" t="inlineStr"/>
      <s:c r="N4" s="4" t="inlineStr"/>
      <s:c r="O4" s="4" t="inlineStr"/>
      <s:c r="P4" s="4" t="inlineStr"/>
      <s:c r="Q4" s="4" t="inlineStr"/>
      <s:c r="R4" s="4" t="inlineStr"/>
      <s:c r="S4" s="4" t="inlineStr"/>
      <s:c r="T4" s="4" t="inlineStr"/>
    </s:row>
    <s:row r="5">
      <s:c r="A5" s="5" t="inlineStr">
        <s:is>
          <s:t>Opening Balance</s:t>
        </s:is>
      </s:c>
      <s:c r="B5" s="21" t="n">
        <s:v>0</s:v>
      </s:c>
      <s:c r="C5" s="21">
        <s:f>B10</s:f>
        <s:v>55275</s:v>
      </s:c>
      <s:c r="D5" s="21">
        <s:f>C10</s:f>
        <s:v>55551.375</s:v>
      </s:c>
      <s:c r="E5" s="21">
        <s:f>D10</s:f>
        <s:v>55829.131875</s:v>
      </s:c>
      <s:c r="F5" s="21">
        <s:f>E10</s:f>
        <s:v>56108.277534374996</s:v>
      </s:c>
      <s:c r="G5" s="21">
        <s:f>F10</s:f>
        <s:v>51014.81892204688</s:v>
      </s:c>
      <s:c r="H5" s="21">
        <s:f>G10</s:f>
        <s:v>36159.893016657115</s:v>
      </s:c>
      <s:c r="I5" s="21">
        <s:f>H10</s:f>
        <s:v>9179.6924817404</s:v>
      </s:c>
      <s:c r="J5" s="21">
        <s:f>I10</s:f>
        <s:v>0</s:v>
      </s:c>
      <s:c r="K5" s="21">
        <s:f>J10</s:f>
        <s:v>0</s:v>
      </s:c>
      <s:c r="L5" s="21">
        <s:f>K10</s:f>
        <s:v>0</s:v>
      </s:c>
      <s:c r="M5" s="21">
        <s:f>L10</s:f>
        <s:v>0</s:v>
      </s:c>
      <s:c r="N5" s="21">
        <s:f>M10</s:f>
        <s:v>0</s:v>
      </s:c>
      <s:c r="O5" s="21">
        <s:f>N10</s:f>
        <s:v>0</s:v>
      </s:c>
      <s:c r="P5" s="21">
        <s:f>O10</s:f>
        <s:v>0</s:v>
      </s:c>
      <s:c r="Q5" s="21">
        <s:f>P10</s:f>
        <s:v>0</s:v>
      </s:c>
      <s:c r="R5" s="21">
        <s:f>Q10</s:f>
        <s:v>0</s:v>
      </s:c>
      <s:c r="S5" s="21">
        <s:f>R10</s:f>
        <s:v>0</s:v>
      </s:c>
      <s:c r="T5" s="21">
        <s:f>S10</s:f>
        <s:v>0</s:v>
      </s:c>
    </s:row>
    <s:row r="6">
      <s:c r="A6" s="5" t="inlineStr">
        <s:is>
          <s:t>Drawdown (funding event)</s:t>
        </s:is>
      </s:c>
      <s:c r="B6" s="21">
        <s:f>IF(0=Assumptions!$B$6,Assumptions!$B$4,0)</s:f>
        <s:v>55000</s:v>
      </s:c>
      <s:c r="C6" s="21">
        <s:f>IF(1=Assumptions!$B$6,Assumptions!$B$4,0)</s:f>
        <s:v>0</s:v>
      </s:c>
      <s:c r="D6" s="21">
        <s:f>IF(2=Assumptions!$B$6,Assumptions!$B$4,0)</s:f>
        <s:v>0</s:v>
      </s:c>
      <s:c r="E6" s="21">
        <s:f>IF(3=Assumptions!$B$6,Assumptions!$B$4,0)</s:f>
        <s:v>0</s:v>
      </s:c>
      <s:c r="F6" s="21">
        <s:f>IF(4=Assumptions!$B$6,Assumptions!$B$4,0)</s:f>
        <s:v>0</s:v>
      </s:c>
      <s:c r="G6" s="21">
        <s:f>IF(5=Assumptions!$B$6,Assumptions!$B$4,0)</s:f>
        <s:v>0</s:v>
      </s:c>
      <s:c r="H6" s="21">
        <s:f>IF(6=Assumptions!$B$6,Assumptions!$B$4,0)</s:f>
        <s:v>0</s:v>
      </s:c>
      <s:c r="I6" s="21">
        <s:f>IF(7=Assumptions!$B$6,Assumptions!$B$4,0)</s:f>
        <s:v>0</s:v>
      </s:c>
      <s:c r="J6" s="21">
        <s:f>IF(8=Assumptions!$B$6,Assumptions!$B$4,0)</s:f>
        <s:v>0</s:v>
      </s:c>
      <s:c r="K6" s="21">
        <s:f>IF(9=Assumptions!$B$6,Assumptions!$B$4,0)</s:f>
        <s:v>0</s:v>
      </s:c>
      <s:c r="L6" s="21">
        <s:f>IF(10=Assumptions!$B$6,Assumptions!$B$4,0)</s:f>
        <s:v>0</s:v>
      </s:c>
      <s:c r="M6" s="21">
        <s:f>IF(11=Assumptions!$B$6,Assumptions!$B$4,0)</s:f>
        <s:v>0</s:v>
      </s:c>
      <s:c r="N6" s="21">
        <s:f>IF(12=Assumptions!$B$6,Assumptions!$B$4,0)</s:f>
        <s:v>0</s:v>
      </s:c>
      <s:c r="O6" s="21">
        <s:f>IF(13=Assumptions!$B$6,Assumptions!$B$4,0)</s:f>
        <s:v>0</s:v>
      </s:c>
      <s:c r="P6" s="21">
        <s:f>IF(14=Assumptions!$B$6,Assumptions!$B$4,0)</s:f>
        <s:v>0</s:v>
      </s:c>
      <s:c r="Q6" s="21">
        <s:f>IF(15=Assumptions!$B$6,Assumptions!$B$4,0)</s:f>
        <s:v>0</s:v>
      </s:c>
      <s:c r="R6" s="21">
        <s:f>IF(16=Assumptions!$B$6,Assumptions!$B$4,0)</s:f>
        <s:v>0</s:v>
      </s:c>
      <s:c r="S6" s="21">
        <s:f>IF(17=Assumptions!$B$6,Assumptions!$B$4,0)</s:f>
        <s:v>0</s:v>
      </s:c>
      <s:c r="T6" s="21">
        <s:f>IF(18=Assumptions!$B$6,Assumptions!$B$4,0)</s:f>
        <s:v>0</s:v>
      </s:c>
    </s:row>
    <s:row r="7">
      <s:c r="A7" s="5" t="inlineStr">
        <s:is>
          <s:t>Interest Accrued (PIK, non-cash)</s:t>
        </s:is>
      </s:c>
      <s:c r="B7" s="21">
        <s:f>IF(0&lt;Assumptions!$B$6,0,(B5+B6)*Assumptions!$B$5/12)</s:f>
        <s:v>275</s:v>
      </s:c>
      <s:c r="C7" s="21">
        <s:f>IF(1&lt;Assumptions!$B$6,0,(C5+C6)*Assumptions!$B$5/12)</s:f>
        <s:v>276.375</s:v>
      </s:c>
      <s:c r="D7" s="21">
        <s:f>IF(2&lt;Assumptions!$B$6,0,(D5+D6)*Assumptions!$B$5/12)</s:f>
        <s:v>277.756875</s:v>
      </s:c>
      <s:c r="E7" s="21">
        <s:f>IF(3&lt;Assumptions!$B$6,0,(E5+E6)*Assumptions!$B$5/12)</s:f>
        <s:v>279.145659375</s:v>
      </s:c>
      <s:c r="F7" s="21">
        <s:f>IF(4&lt;Assumptions!$B$6,0,(F5+F6)*Assumptions!$B$5/12)</s:f>
        <s:v>280.541387671875</s:v>
      </s:c>
      <s:c r="G7" s="21">
        <s:f>IF(5&lt;Assumptions!$B$6,0,(G5+G6)*Assumptions!$B$5/12)</s:f>
        <s:v>255.0740946102344</s:v>
      </s:c>
      <s:c r="H7" s="21">
        <s:f>IF(6&lt;Assumptions!$B$6,0,(H5+H6)*Assumptions!$B$5/12)</s:f>
        <s:v>180.79946508328555</s:v>
      </s:c>
      <s:c r="I7" s="21">
        <s:f>IF(7&lt;Assumptions!$B$6,0,(I5+I6)*Assumptions!$B$5/12)</s:f>
        <s:v>45.898462408701995</s:v>
      </s:c>
      <s:c r="J7" s="21">
        <s:f>IF(8&lt;Assumptions!$B$6,0,(J5+J6)*Assumptions!$B$5/12)</s:f>
        <s:v>0</s:v>
      </s:c>
      <s:c r="K7" s="21">
        <s:f>IF(9&lt;Assumptions!$B$6,0,(K5+K6)*Assumptions!$B$5/12)</s:f>
        <s:v>0</s:v>
      </s:c>
      <s:c r="L7" s="21">
        <s:f>IF(10&lt;Assumptions!$B$6,0,(L5+L6)*Assumptions!$B$5/12)</s:f>
        <s:v>0</s:v>
      </s:c>
      <s:c r="M7" s="21">
        <s:f>IF(11&lt;Assumptions!$B$6,0,(M5+M6)*Assumptions!$B$5/12)</s:f>
        <s:v>0</s:v>
      </s:c>
      <s:c r="N7" s="21">
        <s:f>IF(12&lt;Assumptions!$B$6,0,(N5+N6)*Assumptions!$B$5/12)</s:f>
        <s:v>0</s:v>
      </s:c>
      <s:c r="O7" s="21">
        <s:f>IF(13&lt;Assumptions!$B$6,0,(O5+O6)*Assumptions!$B$5/12)</s:f>
        <s:v>0</s:v>
      </s:c>
      <s:c r="P7" s="21">
        <s:f>IF(14&lt;Assumptions!$B$6,0,(P5+P6)*Assumptions!$B$5/12)</s:f>
        <s:v>0</s:v>
      </s:c>
      <s:c r="Q7" s="21">
        <s:f>IF(15&lt;Assumptions!$B$6,0,(Q5+Q6)*Assumptions!$B$5/12)</s:f>
        <s:v>0</s:v>
      </s:c>
      <s:c r="R7" s="21">
        <s:f>IF(16&lt;Assumptions!$B$6,0,(R5+R6)*Assumptions!$B$5/12)</s:f>
        <s:v>0</s:v>
      </s:c>
      <s:c r="S7" s="21">
        <s:f>IF(17&lt;Assumptions!$B$6,0,(S5+S6)*Assumptions!$B$5/12)</s:f>
        <s:v>0</s:v>
      </s:c>
      <s:c r="T7" s="21">
        <s:f>IF(18&lt;Assumptions!$B$6,0,(T5+T6)*Assumptions!$B$5/12)</s:f>
        <s:v>0</s:v>
      </s:c>
    </s:row>
    <s:row r="8">
      <s:c r="A8" s="5" t="inlineStr">
        <s:is>
          <s:t>Balance Before Repayment</s:t>
        </s:is>
      </s:c>
      <s:c r="B8" s="22">
        <s:f>B5+B6+B7</s:f>
        <s:v>55275</s:v>
      </s:c>
      <s:c r="C8" s="22">
        <s:f>C5+C6+C7</s:f>
        <s:v>55551.375</s:v>
      </s:c>
      <s:c r="D8" s="22">
        <s:f>D5+D6+D7</s:f>
        <s:v>55829.131875</s:v>
      </s:c>
      <s:c r="E8" s="22">
        <s:f>E5+E6+E7</s:f>
        <s:v>56108.277534374996</s:v>
      </s:c>
      <s:c r="F8" s="22">
        <s:f>F5+F6+F7</s:f>
        <s:v>56388.81892204687</s:v>
      </s:c>
      <s:c r="G8" s="22">
        <s:f>G5+G6+G7</s:f>
        <s:v>51269.893016657115</s:v>
      </s:c>
      <s:c r="H8" s="22">
        <s:f>H5+H6+H7</s:f>
        <s:v>36340.6924817404</s:v>
      </s:c>
      <s:c r="I8" s="22">
        <s:f>I5+I6+I7</s:f>
        <s:v>9225.590944149102</s:v>
      </s:c>
      <s:c r="J8" s="22">
        <s:f>J5+J6+J7</s:f>
        <s:v>0</s:v>
      </s:c>
      <s:c r="K8" s="22">
        <s:f>K5+K6+K7</s:f>
        <s:v>0</s:v>
      </s:c>
      <s:c r="L8" s="22">
        <s:f>L5+L6+L7</s:f>
        <s:v>0</s:v>
      </s:c>
      <s:c r="M8" s="22">
        <s:f>M5+M6+M7</s:f>
        <s:v>0</s:v>
      </s:c>
      <s:c r="N8" s="22">
        <s:f>N5+N6+N7</s:f>
        <s:v>0</s:v>
      </s:c>
      <s:c r="O8" s="22">
        <s:f>O5+O6+O7</s:f>
        <s:v>0</s:v>
      </s:c>
      <s:c r="P8" s="22">
        <s:f>P5+P6+P7</s:f>
        <s:v>0</s:v>
      </s:c>
      <s:c r="Q8" s="22">
        <s:f>Q5+Q6+Q7</s:f>
        <s:v>0</s:v>
      </s:c>
      <s:c r="R8" s="22">
        <s:f>R5+R6+R7</s:f>
        <s:v>0</s:v>
      </s:c>
      <s:c r="S8" s="22">
        <s:f>S5+S6+S7</s:f>
        <s:v>0</s:v>
      </s:c>
      <s:c r="T8" s="22">
        <s:f>T5+T6+T7</s:f>
        <s:v>0</s:v>
      </s:c>
    </s:row>
    <s:row r="9">
      <s:c r="A9" s="5" t="inlineStr">
        <s:is>
          <s:t>Repayment — Cash Sweep (from Cash Flow)</s:t>
        </s:is>
      </s:c>
      <s:c r="B9" s="23">
        <s:f>'Monthly Cash Flow'!B53</s:f>
        <s:v>0</s:v>
      </s:c>
      <s:c r="C9" s="23">
        <s:f>'Monthly Cash Flow'!C53</s:f>
        <s:v>0</s:v>
      </s:c>
      <s:c r="D9" s="23">
        <s:f>'Monthly Cash Flow'!D53</s:f>
        <s:v>0</s:v>
      </s:c>
      <s:c r="E9" s="23">
        <s:f>'Monthly Cash Flow'!E53</s:f>
        <s:v>0</s:v>
      </s:c>
      <s:c r="F9" s="23">
        <s:f>'Monthly Cash Flow'!F53</s:f>
        <s:v>5373.999999999993</s:v>
      </s:c>
      <s:c r="G9" s="23">
        <s:f>'Monthly Cash Flow'!G53</s:f>
        <s:v>15110</s:v>
      </s:c>
      <s:c r="H9" s="23">
        <s:f>'Monthly Cash Flow'!H53</s:f>
        <s:v>27161</s:v>
      </s:c>
      <s:c r="I9" s="23">
        <s:f>'Monthly Cash Flow'!I53</s:f>
        <s:v>9225.590944149102</s:v>
      </s:c>
      <s:c r="J9" s="23">
        <s:f>'Monthly Cash Flow'!J53</s:f>
        <s:v>0</s:v>
      </s:c>
      <s:c r="K9" s="23">
        <s:f>'Monthly Cash Flow'!K53</s:f>
        <s:v>0</s:v>
      </s:c>
      <s:c r="L9" s="23">
        <s:f>'Monthly Cash Flow'!L53</s:f>
        <s:v>0</s:v>
      </s:c>
      <s:c r="M9" s="23">
        <s:f>'Monthly Cash Flow'!M53</s:f>
        <s:v>0</s:v>
      </s:c>
      <s:c r="N9" s="23">
        <s:f>'Monthly Cash Flow'!N53</s:f>
        <s:v>0</s:v>
      </s:c>
      <s:c r="O9" s="23">
        <s:f>'Monthly Cash Flow'!O53</s:f>
        <s:v>0</s:v>
      </s:c>
      <s:c r="P9" s="23">
        <s:f>'Monthly Cash Flow'!P53</s:f>
        <s:v>0</s:v>
      </s:c>
      <s:c r="Q9" s="23">
        <s:f>'Monthly Cash Flow'!Q53</s:f>
        <s:v>0</s:v>
      </s:c>
      <s:c r="R9" s="23">
        <s:f>'Monthly Cash Flow'!R53</s:f>
        <s:v>0</s:v>
      </s:c>
      <s:c r="S9" s="23">
        <s:f>'Monthly Cash Flow'!S53</s:f>
        <s:v>0</s:v>
      </s:c>
      <s:c r="T9" s="23">
        <s:f>'Monthly Cash Flow'!T53</s:f>
        <s:v>0</s:v>
      </s:c>
    </s:row>
    <s:row r="10">
      <s:c r="A10" s="5" t="inlineStr">
        <s:is>
          <s:t>Closing Balance</s:t>
        </s:is>
      </s:c>
      <s:c r="B10" s="22">
        <s:f>B8-B9</s:f>
        <s:v>55275</s:v>
      </s:c>
      <s:c r="C10" s="22">
        <s:f>C8-C9</s:f>
        <s:v>55551.375</s:v>
      </s:c>
      <s:c r="D10" s="22">
        <s:f>D8-D9</s:f>
        <s:v>55829.131875</s:v>
      </s:c>
      <s:c r="E10" s="22">
        <s:f>E8-E9</s:f>
        <s:v>56108.277534374996</s:v>
      </s:c>
      <s:c r="F10" s="22">
        <s:f>F8-F9</s:f>
        <s:v>51014.81892204688</s:v>
      </s:c>
      <s:c r="G10" s="22">
        <s:f>G8-G9</s:f>
        <s:v>36159.893016657115</s:v>
      </s:c>
      <s:c r="H10" s="22">
        <s:f>H8-H9</s:f>
        <s:v>9179.6924817404</s:v>
      </s:c>
      <s:c r="I10" s="22">
        <s:f>I8-I9</s:f>
        <s:v>0</s:v>
      </s:c>
      <s:c r="J10" s="22">
        <s:f>J8-J9</s:f>
        <s:v>0</s:v>
      </s:c>
      <s:c r="K10" s="22">
        <s:f>K8-K9</s:f>
        <s:v>0</s:v>
      </s:c>
      <s:c r="L10" s="22">
        <s:f>L8-L9</s:f>
        <s:v>0</s:v>
      </s:c>
      <s:c r="M10" s="22">
        <s:f>M8-M9</s:f>
        <s:v>0</s:v>
      </s:c>
      <s:c r="N10" s="22">
        <s:f>N8-N9</s:f>
        <s:v>0</s:v>
      </s:c>
      <s:c r="O10" s="22">
        <s:f>O8-O9</s:f>
        <s:v>0</s:v>
      </s:c>
      <s:c r="P10" s="22">
        <s:f>P8-P9</s:f>
        <s:v>0</s:v>
      </s:c>
      <s:c r="Q10" s="22">
        <s:f>Q8-Q9</s:f>
        <s:v>0</s:v>
      </s:c>
      <s:c r="R10" s="22">
        <s:f>R8-R9</s:f>
        <s:v>0</s:v>
      </s:c>
      <s:c r="S10" s="22">
        <s:f>S8-S9</s:f>
        <s:v>0</s:v>
      </s:c>
      <s:c r="T10" s="22">
        <s:f>T8-T9</s:f>
        <s:v>0</s:v>
      </s:c>
    </s:row>
    <s:row r="12">
      <s:c r="A12" s="3" t="inlineStr">
        <s:is>
          <s:t>CUMULATIVE &amp; METRICS</s:t>
        </s:is>
      </s:c>
      <s:c r="B12" s="4" t="inlineStr"/>
      <s:c r="C12" s="4" t="inlineStr"/>
      <s:c r="D12" s="4" t="inlineStr"/>
      <s:c r="E12" s="4" t="inlineStr"/>
      <s:c r="F12" s="4" t="inlineStr"/>
      <s:c r="G12" s="4" t="inlineStr"/>
      <s:c r="H12" s="4" t="inlineStr"/>
      <s:c r="I12" s="4" t="inlineStr"/>
      <s:c r="J12" s="4" t="inlineStr"/>
      <s:c r="K12" s="4" t="inlineStr"/>
      <s:c r="L12" s="4" t="inlineStr"/>
      <s:c r="M12" s="4" t="inlineStr"/>
      <s:c r="N12" s="4" t="inlineStr"/>
      <s:c r="O12" s="4" t="inlineStr"/>
      <s:c r="P12" s="4" t="inlineStr"/>
      <s:c r="Q12" s="4" t="inlineStr"/>
      <s:c r="R12" s="4" t="inlineStr"/>
      <s:c r="S12" s="4" t="inlineStr"/>
      <s:c r="T12" s="4" t="inlineStr"/>
    </s:row>
    <s:row r="13">
      <s:c r="A13" s="5" t="inlineStr">
        <s:is>
          <s:t>Cumulative Interest Accrued</s:t>
        </s:is>
      </s:c>
      <s:c r="B13" s="21">
        <s:f>B7</s:f>
        <s:v>275</s:v>
      </s:c>
      <s:c r="C13" s="21">
        <s:f>B13+C7</s:f>
        <s:v>551.375</s:v>
      </s:c>
      <s:c r="D13" s="21">
        <s:f>C13+D7</s:f>
        <s:v>829.131875</s:v>
      </s:c>
      <s:c r="E13" s="21">
        <s:f>D13+E7</s:f>
        <s:v>1108.277534375</s:v>
      </s:c>
      <s:c r="F13" s="21">
        <s:f>E13+F7</s:f>
        <s:v>1388.8189220468748</s:v>
      </s:c>
      <s:c r="G13" s="21">
        <s:f>F13+G7</s:f>
        <s:v>1643.8930166571092</s:v>
      </s:c>
      <s:c r="H13" s="21">
        <s:f>G13+H7</s:f>
        <s:v>1824.6924817403947</s:v>
      </s:c>
      <s:c r="I13" s="21">
        <s:f>H13+I7</s:f>
        <s:v>1870.5909441490967</s:v>
      </s:c>
      <s:c r="J13" s="21">
        <s:f>I13+J7</s:f>
        <s:v>1870.5909441490967</s:v>
      </s:c>
      <s:c r="K13" s="21">
        <s:f>J13+K7</s:f>
        <s:v>1870.5909441490967</s:v>
      </s:c>
      <s:c r="L13" s="21">
        <s:f>K13+L7</s:f>
        <s:v>1870.5909441490967</s:v>
      </s:c>
      <s:c r="M13" s="21">
        <s:f>L13+M7</s:f>
        <s:v>1870.5909441490967</s:v>
      </s:c>
      <s:c r="N13" s="21">
        <s:f>M13+N7</s:f>
        <s:v>1870.5909441490967</s:v>
      </s:c>
      <s:c r="O13" s="21">
        <s:f>N13+O7</s:f>
        <s:v>1870.5909441490967</s:v>
      </s:c>
      <s:c r="P13" s="21">
        <s:f>O13+P7</s:f>
        <s:v>1870.5909441490967</s:v>
      </s:c>
      <s:c r="Q13" s="21">
        <s:f>P13+Q7</s:f>
        <s:v>1870.5909441490967</s:v>
      </s:c>
      <s:c r="R13" s="21">
        <s:f>Q13+R7</s:f>
        <s:v>1870.5909441490967</s:v>
      </s:c>
      <s:c r="S13" s="21">
        <s:f>R13+S7</s:f>
        <s:v>1870.5909441490967</s:v>
      </s:c>
      <s:c r="T13" s="21">
        <s:f>S13+T7</s:f>
        <s:v>1870.5909441490967</s:v>
      </s:c>
    </s:row>
    <s:row r="14">
      <s:c r="A14" s="5" t="inlineStr">
        <s:is>
          <s:t>Cumulative Repaid to Joe</s:t>
        </s:is>
      </s:c>
      <s:c r="B14" s="21">
        <s:f>B9</s:f>
        <s:v>0</s:v>
      </s:c>
      <s:c r="C14" s="21">
        <s:f>B14+C9</s:f>
        <s:v>0</s:v>
      </s:c>
      <s:c r="D14" s="21">
        <s:f>C14+D9</s:f>
        <s:v>0</s:v>
      </s:c>
      <s:c r="E14" s="21">
        <s:f>D14+E9</s:f>
        <s:v>0</s:v>
      </s:c>
      <s:c r="F14" s="21">
        <s:f>E14+F9</s:f>
        <s:v>5373.999999999993</s:v>
      </s:c>
      <s:c r="G14" s="21">
        <s:f>F14+G9</s:f>
        <s:v>20483.999999999993</s:v>
      </s:c>
      <s:c r="H14" s="21">
        <s:f>G14+H9</s:f>
        <s:v>47644.99999999999</s:v>
      </s:c>
      <s:c r="I14" s="21">
        <s:f>H14+I9</s:f>
        <s:v>56870.590944149095</s:v>
      </s:c>
      <s:c r="J14" s="21">
        <s:f>I14+J9</s:f>
        <s:v>56870.590944149095</s:v>
      </s:c>
      <s:c r="K14" s="21">
        <s:f>J14+K9</s:f>
        <s:v>56870.590944149095</s:v>
      </s:c>
      <s:c r="L14" s="21">
        <s:f>K14+L9</s:f>
        <s:v>56870.590944149095</s:v>
      </s:c>
      <s:c r="M14" s="21">
        <s:f>L14+M9</s:f>
        <s:v>56870.590944149095</s:v>
      </s:c>
      <s:c r="N14" s="21">
        <s:f>M14+N9</s:f>
        <s:v>56870.590944149095</s:v>
      </s:c>
      <s:c r="O14" s="21">
        <s:f>N14+O9</s:f>
        <s:v>56870.590944149095</s:v>
      </s:c>
      <s:c r="P14" s="21">
        <s:f>O14+P9</s:f>
        <s:v>56870.590944149095</s:v>
      </s:c>
      <s:c r="Q14" s="21">
        <s:f>P14+Q9</s:f>
        <s:v>56870.590944149095</s:v>
      </s:c>
      <s:c r="R14" s="21">
        <s:f>Q14+R9</s:f>
        <s:v>56870.590944149095</s:v>
      </s:c>
      <s:c r="S14" s="21">
        <s:f>R14+S9</s:f>
        <s:v>56870.590944149095</s:v>
      </s:c>
      <s:c r="T14" s="21">
        <s:f>S14+T9</s:f>
        <s:v>56870.590944149095</s:v>
      </s:c>
    </s:row>
    <s:row r="15">
      <s:c r="A15" s="5" t="inlineStr">
        <s:is>
          <s:t>% of Loan Repaid</s:t>
        </s:is>
      </s:c>
      <s:c r="B15" s="24">
        <s:f>IFERROR(B14/(Assumptions!$B$4+B13),0)</s:f>
        <s:v>0</s:v>
      </s:c>
      <s:c r="C15" s="24">
        <s:f>IFERROR(C14/(Assumptions!$B$4+C13),0)</s:f>
        <s:v>0</s:v>
      </s:c>
      <s:c r="D15" s="24">
        <s:f>IFERROR(D14/(Assumptions!$B$4+D13),0)</s:f>
        <s:v>0</s:v>
      </s:c>
      <s:c r="E15" s="24">
        <s:f>IFERROR(E14/(Assumptions!$B$4+E13),0)</s:f>
        <s:v>0</s:v>
      </s:c>
      <s:c r="F15" s="24">
        <s:f>IFERROR(F14/(Assumptions!$B$4+F13),0)</s:f>
        <s:v>0.09530258130479957</s:v>
      </s:c>
      <s:c r="G15" s="24">
        <s:f>IFERROR(G14/(Assumptions!$B$4+G13),0)</s:f>
        <s:v>0.3616276867477368</s:v>
      </s:c>
      <s:c r="H15" s="24">
        <s:f>IFERROR(H14/(Assumptions!$B$4+H13),0)</s:f>
        <s:v>0.8384559232821166</s:v>
      </s:c>
      <s:c r="I15" s="24">
        <s:f>IFERROR(I14/(Assumptions!$B$4+I13),0)</s:f>
        <s:v>1</s:v>
      </s:c>
      <s:c r="J15" s="24">
        <s:f>IFERROR(J14/(Assumptions!$B$4+J13),0)</s:f>
        <s:v>1</s:v>
      </s:c>
      <s:c r="K15" s="24">
        <s:f>IFERROR(K14/(Assumptions!$B$4+K13),0)</s:f>
        <s:v>1</s:v>
      </s:c>
      <s:c r="L15" s="24">
        <s:f>IFERROR(L14/(Assumptions!$B$4+L13),0)</s:f>
        <s:v>1</s:v>
      </s:c>
      <s:c r="M15" s="24">
        <s:f>IFERROR(M14/(Assumptions!$B$4+M13),0)</s:f>
        <s:v>1</s:v>
      </s:c>
      <s:c r="N15" s="24">
        <s:f>IFERROR(N14/(Assumptions!$B$4+N13),0)</s:f>
        <s:v>1</s:v>
      </s:c>
      <s:c r="O15" s="24">
        <s:f>IFERROR(O14/(Assumptions!$B$4+O13),0)</s:f>
        <s:v>1</s:v>
      </s:c>
      <s:c r="P15" s="24">
        <s:f>IFERROR(P14/(Assumptions!$B$4+P13),0)</s:f>
        <s:v>1</s:v>
      </s:c>
      <s:c r="Q15" s="24">
        <s:f>IFERROR(Q14/(Assumptions!$B$4+Q13),0)</s:f>
        <s:v>1</s:v>
      </s:c>
      <s:c r="R15" s="24">
        <s:f>IFERROR(R14/(Assumptions!$B$4+R13),0)</s:f>
        <s:v>1</s:v>
      </s:c>
      <s:c r="S15" s="24">
        <s:f>IFERROR(S14/(Assumptions!$B$4+S13),0)</s:f>
        <s:v>1</s:v>
      </s:c>
      <s:c r="T15" s="24">
        <s:f>IFERROR(T14/(Assumptions!$B$4+T13),0)</s:f>
        <s:v>1</s:v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U68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0" customWidth="1" min="1" max="1"/>
    <s:col width="11" customWidth="1" min="2" max="2"/>
    <s:col width="11" customWidth="1" min="3" max="3"/>
    <s:col width="11" customWidth="1" min="4" max="4"/>
    <s:col width="11" customWidth="1" min="5" max="5"/>
    <s:col width="11" customWidth="1" min="6" max="6"/>
    <s:col width="11" customWidth="1" min="7" max="7"/>
    <s:col width="11" customWidth="1" min="8" max="8"/>
    <s:col width="11" customWidth="1" min="9" max="9"/>
    <s:col width="11" customWidth="1" min="10" max="10"/>
    <s:col width="11" customWidth="1" min="11" max="11"/>
    <s:col width="11" customWidth="1" min="12" max="12"/>
    <s:col width="11" customWidth="1" min="13" max="13"/>
    <s:col width="11" customWidth="1" min="14" max="14"/>
    <s:col width="11" customWidth="1" min="15" max="15"/>
    <s:col width="11" customWidth="1" min="16" max="16"/>
    <s:col width="11" customWidth="1" min="17" max="17"/>
    <s:col width="11" customWidth="1" min="18" max="18"/>
    <s:col width="11" customWidth="1" min="19" max="19"/>
    <s:col width="11" customWidth="1" min="20" max="20"/>
    <s:col width="34" customWidth="1" min="21" max="21"/>
  </s:cols>
  <s:sheetData>
    <s:row r="1">
      <s:c r="A1" s="1" t="inlineStr">
        <s:is>
          <s:t>ExitBlueprint — Monthly Cash Flow (Bootstrap, Mo 0-18)</s:t>
        </s:is>
      </s:c>
      <s:c r="B1" s="2" t="inlineStr"/>
      <s:c r="C1" s="2" t="inlineStr"/>
      <s:c r="D1" s="2" t="inlineStr"/>
      <s:c r="E1" s="2" t="inlineStr"/>
      <s:c r="F1" s="2" t="inlineStr"/>
      <s:c r="G1" s="2" t="inlineStr"/>
      <s:c r="H1" s="2" t="inlineStr"/>
      <s:c r="I1" s="2" t="inlineStr"/>
      <s:c r="J1" s="2" t="inlineStr"/>
      <s:c r="K1" s="2" t="inlineStr"/>
      <s:c r="L1" s="2" t="inlineStr"/>
      <s:c r="M1" s="2" t="inlineStr"/>
      <s:c r="N1" s="2" t="inlineStr"/>
      <s:c r="O1" s="2" t="inlineStr"/>
      <s:c r="P1" s="2" t="inlineStr"/>
      <s:c r="Q1" s="2" t="inlineStr"/>
      <s:c r="R1" s="2" t="inlineStr"/>
      <s:c r="S1" s="2" t="inlineStr"/>
      <s:c r="T1" s="2" t="inlineStr"/>
    </s:row>
    <s:row r="2">
      <s:c r="A2" s="15" t="inlineStr">
        <s:is>
          <s:t>Line Item</s:t>
        </s:is>
      </s:c>
      <s:c r="B2" s="16" t="inlineStr">
        <s:is>
          <s:t>Mo 0</s:t>
        </s:is>
      </s:c>
      <s:c r="C2" s="17" t="inlineStr">
        <s:is>
          <s:t>Mo 1 *</s:t>
        </s:is>
      </s:c>
      <s:c r="D2" s="16" t="inlineStr">
        <s:is>
          <s:t>Mo 2</s:t>
        </s:is>
      </s:c>
      <s:c r="E2" s="16" t="inlineStr">
        <s:is>
          <s:t>Mo 3</s:t>
        </s:is>
      </s:c>
      <s:c r="F2" s="16" t="inlineStr">
        <s:is>
          <s:t>Mo 4</s:t>
        </s:is>
      </s:c>
      <s:c r="G2" s="16" t="inlineStr">
        <s:is>
          <s:t>Mo 5</s:t>
        </s:is>
      </s:c>
      <s:c r="H2" s="16" t="inlineStr">
        <s:is>
          <s:t>Mo 6</s:t>
        </s:is>
      </s:c>
      <s:c r="I2" s="16" t="inlineStr">
        <s:is>
          <s:t>Mo 7</s:t>
        </s:is>
      </s:c>
      <s:c r="J2" s="16" t="inlineStr">
        <s:is>
          <s:t>Mo 8</s:t>
        </s:is>
      </s:c>
      <s:c r="K2" s="16" t="inlineStr">
        <s:is>
          <s:t>Mo 9</s:t>
        </s:is>
      </s:c>
      <s:c r="L2" s="16" t="inlineStr">
        <s:is>
          <s:t>Mo 10</s:t>
        </s:is>
      </s:c>
      <s:c r="M2" s="16" t="inlineStr">
        <s:is>
          <s:t>Mo 11</s:t>
        </s:is>
      </s:c>
      <s:c r="N2" s="16" t="inlineStr">
        <s:is>
          <s:t>Mo 12</s:t>
        </s:is>
      </s:c>
      <s:c r="O2" s="16" t="inlineStr">
        <s:is>
          <s:t>Mo 13</s:t>
        </s:is>
      </s:c>
      <s:c r="P2" s="16" t="inlineStr">
        <s:is>
          <s:t>Mo 14</s:t>
        </s:is>
      </s:c>
      <s:c r="Q2" s="16" t="inlineStr">
        <s:is>
          <s:t>Mo 15</s:t>
        </s:is>
      </s:c>
      <s:c r="R2" s="16" t="inlineStr">
        <s:is>
          <s:t>Mo 16</s:t>
        </s:is>
      </s:c>
      <s:c r="S2" s="16" t="inlineStr">
        <s:is>
          <s:t>Mo 17</s:t>
        </s:is>
      </s:c>
      <s:c r="T2" s="16" t="inlineStr">
        <s:is>
          <s:t>Mo 18</s:t>
        </s:is>
      </s:c>
    </s:row>
    <s:row r="3">
      <s:c r="A3" s="18" t="inlineStr">
        <s:is>
          <s:t>Calendar</s:t>
        </s:is>
      </s:c>
      <s:c r="B3" s="19" t="inlineStr">
        <s:is>
          <s:t>Aug-26</s:t>
        </s:is>
      </s:c>
      <s:c r="C3" s="20" t="inlineStr">
        <s:is>
          <s:t>Sep-26</s:t>
        </s:is>
      </s:c>
      <s:c r="D3" s="19" t="inlineStr">
        <s:is>
          <s:t>Oct-26</s:t>
        </s:is>
      </s:c>
      <s:c r="E3" s="19" t="inlineStr">
        <s:is>
          <s:t>Nov-26</s:t>
        </s:is>
      </s:c>
      <s:c r="F3" s="19" t="inlineStr">
        <s:is>
          <s:t>Dec-26</s:t>
        </s:is>
      </s:c>
      <s:c r="G3" s="19" t="inlineStr">
        <s:is>
          <s:t>Jan-27</s:t>
        </s:is>
      </s:c>
      <s:c r="H3" s="19" t="inlineStr">
        <s:is>
          <s:t>Feb-27</s:t>
        </s:is>
      </s:c>
      <s:c r="I3" s="19" t="inlineStr">
        <s:is>
          <s:t>Mar-27</s:t>
        </s:is>
      </s:c>
      <s:c r="J3" s="19" t="inlineStr">
        <s:is>
          <s:t>Apr-27</s:t>
        </s:is>
      </s:c>
      <s:c r="K3" s="19" t="inlineStr">
        <s:is>
          <s:t>May-27</s:t>
        </s:is>
      </s:c>
      <s:c r="L3" s="19" t="inlineStr">
        <s:is>
          <s:t>Jun-27</s:t>
        </s:is>
      </s:c>
      <s:c r="M3" s="19" t="inlineStr">
        <s:is>
          <s:t>Jul-27</s:t>
        </s:is>
      </s:c>
      <s:c r="N3" s="19" t="inlineStr">
        <s:is>
          <s:t>Aug-27</s:t>
        </s:is>
      </s:c>
      <s:c r="O3" s="19" t="inlineStr">
        <s:is>
          <s:t>Sep-27</s:t>
        </s:is>
      </s:c>
      <s:c r="P3" s="19" t="inlineStr">
        <s:is>
          <s:t>Oct-27</s:t>
        </s:is>
      </s:c>
      <s:c r="Q3" s="19" t="inlineStr">
        <s:is>
          <s:t>Nov-27</s:t>
        </s:is>
      </s:c>
      <s:c r="R3" s="19" t="inlineStr">
        <s:is>
          <s:t>Dec-27</s:t>
        </s:is>
      </s:c>
      <s:c r="S3" s="19" t="inlineStr">
        <s:is>
          <s:t>Jan-28</s:t>
        </s:is>
      </s:c>
      <s:c r="T3" s="19" t="inlineStr">
        <s:is>
          <s:t>Feb-28</s:t>
        </s:is>
      </s:c>
    </s:row>
    <s:row r="4">
      <s:c r="A4" s="3" t="inlineStr">
        <s:is>
          <s:t>CAPITAL INFLOWS</s:t>
        </s:is>
      </s:c>
      <s:c r="B4" s="4" t="inlineStr"/>
      <s:c r="C4" s="4" t="inlineStr"/>
      <s:c r="D4" s="4" t="inlineStr"/>
      <s:c r="E4" s="4" t="inlineStr"/>
      <s:c r="F4" s="4" t="inlineStr"/>
      <s:c r="G4" s="4" t="inlineStr"/>
      <s:c r="H4" s="4" t="inlineStr"/>
      <s:c r="I4" s="4" t="inlineStr"/>
      <s:c r="J4" s="4" t="inlineStr"/>
      <s:c r="K4" s="4" t="inlineStr"/>
      <s:c r="L4" s="4" t="inlineStr"/>
      <s:c r="M4" s="4" t="inlineStr"/>
      <s:c r="N4" s="4" t="inlineStr"/>
      <s:c r="O4" s="4" t="inlineStr"/>
      <s:c r="P4" s="4" t="inlineStr"/>
      <s:c r="Q4" s="4" t="inlineStr"/>
      <s:c r="R4" s="4" t="inlineStr"/>
      <s:c r="S4" s="4" t="inlineStr"/>
      <s:c r="T4" s="4" t="inlineStr"/>
    </s:row>
    <s:row r="5">
      <s:c r="A5" s="5" t="inlineStr">
        <s:is>
          <s:t>Joe Bootstrap Loan — Drawdown</s:t>
        </s:is>
      </s:c>
      <s:c r="B5" s="23">
        <s:f>IF(0=Assumptions!$B$6,Assumptions!$B$4,0)</s:f>
        <s:v>55000</s:v>
      </s:c>
      <s:c r="C5" s="23">
        <s:f>IF(1=Assumptions!$B$6,Assumptions!$B$4,0)</s:f>
        <s:v>0</s:v>
      </s:c>
      <s:c r="D5" s="23">
        <s:f>IF(2=Assumptions!$B$6,Assumptions!$B$4,0)</s:f>
        <s:v>0</s:v>
      </s:c>
      <s:c r="E5" s="23">
        <s:f>IF(3=Assumptions!$B$6,Assumptions!$B$4,0)</s:f>
        <s:v>0</s:v>
      </s:c>
      <s:c r="F5" s="23">
        <s:f>IF(4=Assumptions!$B$6,Assumptions!$B$4,0)</s:f>
        <s:v>0</s:v>
      </s:c>
      <s:c r="G5" s="23">
        <s:f>IF(5=Assumptions!$B$6,Assumptions!$B$4,0)</s:f>
        <s:v>0</s:v>
      </s:c>
      <s:c r="H5" s="23">
        <s:f>IF(6=Assumptions!$B$6,Assumptions!$B$4,0)</s:f>
        <s:v>0</s:v>
      </s:c>
      <s:c r="I5" s="23">
        <s:f>IF(7=Assumptions!$B$6,Assumptions!$B$4,0)</s:f>
        <s:v>0</s:v>
      </s:c>
      <s:c r="J5" s="23">
        <s:f>IF(8=Assumptions!$B$6,Assumptions!$B$4,0)</s:f>
        <s:v>0</s:v>
      </s:c>
      <s:c r="K5" s="23">
        <s:f>IF(9=Assumptions!$B$6,Assumptions!$B$4,0)</s:f>
        <s:v>0</s:v>
      </s:c>
      <s:c r="L5" s="23">
        <s:f>IF(10=Assumptions!$B$6,Assumptions!$B$4,0)</s:f>
        <s:v>0</s:v>
      </s:c>
      <s:c r="M5" s="23">
        <s:f>IF(11=Assumptions!$B$6,Assumptions!$B$4,0)</s:f>
        <s:v>0</s:v>
      </s:c>
      <s:c r="N5" s="23">
        <s:f>IF(12=Assumptions!$B$6,Assumptions!$B$4,0)</s:f>
        <s:v>0</s:v>
      </s:c>
      <s:c r="O5" s="23">
        <s:f>IF(13=Assumptions!$B$6,Assumptions!$B$4,0)</s:f>
        <s:v>0</s:v>
      </s:c>
      <s:c r="P5" s="23">
        <s:f>IF(14=Assumptions!$B$6,Assumptions!$B$4,0)</s:f>
        <s:v>0</s:v>
      </s:c>
      <s:c r="Q5" s="23">
        <s:f>IF(15=Assumptions!$B$6,Assumptions!$B$4,0)</s:f>
        <s:v>0</s:v>
      </s:c>
      <s:c r="R5" s="23">
        <s:f>IF(16=Assumptions!$B$6,Assumptions!$B$4,0)</s:f>
        <s:v>0</s:v>
      </s:c>
      <s:c r="S5" s="23">
        <s:f>IF(17=Assumptions!$B$6,Assumptions!$B$4,0)</s:f>
        <s:v>0</s:v>
      </s:c>
      <s:c r="T5" s="23">
        <s:f>IF(18=Assumptions!$B$6,Assumptions!$B$4,0)</s:f>
        <s:v>0</s:v>
      </s:c>
      <s:c r="U5" s="8" t="inlineStr">
        <s:is>
          <s:t>Funded once, Mo 0</s:t>
        </s:is>
      </s:c>
    </s:row>
    <s:row r="6">
      <s:c r="A6" s="25" t="inlineStr">
        <s:is>
          <s:t>TOTAL CAPITAL INFLOWS</s:t>
        </s:is>
      </s:c>
      <s:c r="B6" s="22">
        <s:f>B5</s:f>
        <s:v>55000</s:v>
      </s:c>
      <s:c r="C6" s="22">
        <s:f>C5</s:f>
        <s:v>0</s:v>
      </s:c>
      <s:c r="D6" s="22">
        <s:f>D5</s:f>
        <s:v>0</s:v>
      </s:c>
      <s:c r="E6" s="22">
        <s:f>E5</s:f>
        <s:v>0</s:v>
      </s:c>
      <s:c r="F6" s="22">
        <s:f>F5</s:f>
        <s:v>0</s:v>
      </s:c>
      <s:c r="G6" s="22">
        <s:f>G5</s:f>
        <s:v>0</s:v>
      </s:c>
      <s:c r="H6" s="22">
        <s:f>H5</s:f>
        <s:v>0</s:v>
      </s:c>
      <s:c r="I6" s="22">
        <s:f>I5</s:f>
        <s:v>0</s:v>
      </s:c>
      <s:c r="J6" s="22">
        <s:f>J5</s:f>
        <s:v>0</s:v>
      </s:c>
      <s:c r="K6" s="22">
        <s:f>K5</s:f>
        <s:v>0</s:v>
      </s:c>
      <s:c r="L6" s="22">
        <s:f>L5</s:f>
        <s:v>0</s:v>
      </s:c>
      <s:c r="M6" s="22">
        <s:f>M5</s:f>
        <s:v>0</s:v>
      </s:c>
      <s:c r="N6" s="22">
        <s:f>N5</s:f>
        <s:v>0</s:v>
      </s:c>
      <s:c r="O6" s="22">
        <s:f>O5</s:f>
        <s:v>0</s:v>
      </s:c>
      <s:c r="P6" s="22">
        <s:f>P5</s:f>
        <s:v>0</s:v>
      </s:c>
      <s:c r="Q6" s="22">
        <s:f>Q5</s:f>
        <s:v>0</s:v>
      </s:c>
      <s:c r="R6" s="22">
        <s:f>R5</s:f>
        <s:v>0</s:v>
      </s:c>
      <s:c r="S6" s="22">
        <s:f>S5</s:f>
        <s:v>0</s:v>
      </s:c>
      <s:c r="T6" s="22">
        <s:f>T5</s:f>
        <s:v>0</s:v>
      </s:c>
    </s:row>
    <s:row r="8">
      <s:c r="A8" s="3" t="inlineStr">
        <s:is>
          <s:t>REVENUE &amp; ADVISOR COUNTS</s:t>
        </s:is>
      </s:c>
      <s:c r="B8" s="4" t="inlineStr"/>
      <s:c r="C8" s="4" t="inlineStr"/>
      <s:c r="D8" s="4" t="inlineStr"/>
      <s:c r="E8" s="4" t="inlineStr"/>
      <s:c r="F8" s="4" t="inlineStr"/>
      <s:c r="G8" s="4" t="inlineStr"/>
      <s:c r="H8" s="4" t="inlineStr"/>
      <s:c r="I8" s="4" t="inlineStr"/>
      <s:c r="J8" s="4" t="inlineStr"/>
      <s:c r="K8" s="4" t="inlineStr"/>
      <s:c r="L8" s="4" t="inlineStr"/>
      <s:c r="M8" s="4" t="inlineStr"/>
      <s:c r="N8" s="4" t="inlineStr"/>
      <s:c r="O8" s="4" t="inlineStr"/>
      <s:c r="P8" s="4" t="inlineStr"/>
      <s:c r="Q8" s="4" t="inlineStr"/>
      <s:c r="R8" s="4" t="inlineStr"/>
      <s:c r="S8" s="4" t="inlineStr"/>
      <s:c r="T8" s="4" t="inlineStr"/>
    </s:row>
    <s:row r="9">
      <s:c r="A9" s="5" t="inlineStr">
        <s:is>
          <s:t>Founding Advisors (count)</s:t>
        </s:is>
      </s:c>
      <s:c r="B9" s="26">
        <s:f>0</s:f>
        <s:v>0</s:v>
      </s:c>
      <s:c r="C9" s="27">
        <s:f>Assumptions!$B$56</s:f>
        <s:v>10</s:v>
      </s:c>
      <s:c r="D9" s="27">
        <s:f>C9+Assumptions!$B$57</s:f>
        <s:v>20</s:v>
      </s:c>
      <s:c r="E9" s="26">
        <s:f>D9</s:f>
        <s:v>20</s:v>
      </s:c>
      <s:c r="F9" s="26">
        <s:f>E9</s:f>
        <s:v>20</s:v>
      </s:c>
      <s:c r="G9" s="26">
        <s:f>F9</s:f>
        <s:v>20</s:v>
      </s:c>
      <s:c r="H9" s="26">
        <s:f>G9</s:f>
        <s:v>20</s:v>
      </s:c>
      <s:c r="I9" s="26">
        <s:f>H9</s:f>
        <s:v>20</s:v>
      </s:c>
      <s:c r="J9" s="26">
        <s:f>I9</s:f>
        <s:v>20</s:v>
      </s:c>
      <s:c r="K9" s="26">
        <s:f>J9</s:f>
        <s:v>20</s:v>
      </s:c>
      <s:c r="L9" s="26">
        <s:f>K9</s:f>
        <s:v>20</s:v>
      </s:c>
      <s:c r="M9" s="26">
        <s:f>L9</s:f>
        <s:v>20</s:v>
      </s:c>
      <s:c r="N9" s="26">
        <s:f>M9</s:f>
        <s:v>20</s:v>
      </s:c>
      <s:c r="O9" s="26">
        <s:f>N9</s:f>
        <s:v>20</s:v>
      </s:c>
      <s:c r="P9" s="26">
        <s:f>O9</s:f>
        <s:v>20</s:v>
      </s:c>
      <s:c r="Q9" s="26">
        <s:f>P9</s:f>
        <s:v>20</s:v>
      </s:c>
      <s:c r="R9" s="26">
        <s:f>Q9</s:f>
        <s:v>20</s:v>
      </s:c>
      <s:c r="S9" s="26">
        <s:f>R9</s:f>
        <s:v>20</s:v>
      </s:c>
      <s:c r="T9" s="26">
        <s:f>S9</s:f>
        <s:v>20</s:v>
      </s:c>
    </s:row>
    <s:row r="10">
      <s:c r="A10" s="5" t="inlineStr">
        <s:is>
          <s:t>Standard — New Adds</s:t>
        </s:is>
      </s:c>
      <s:c r="B10" s="26">
        <s:f>0</s:f>
        <s:v>0</s:v>
      </s:c>
      <s:c r="C10" s="26">
        <s:f>0</s:f>
        <s:v>0</s:v>
      </s:c>
      <s:c r="D10" s="26">
        <s:f>0</s:f>
        <s:v>0</s:v>
      </s:c>
      <s:c r="E10" s="27">
        <s:f>Assumptions!$B$59</s:f>
        <s:v>10</s:v>
      </s:c>
      <s:c r="F10" s="27">
        <s:f>Assumptions!$B$60</s:f>
        <s:v>17</s:v>
      </s:c>
      <s:c r="G10" s="27">
        <s:f>Assumptions!$B$61</s:f>
        <s:v>24</s:v>
      </s:c>
      <s:c r="H10" s="27">
        <s:f>Assumptions!$B$62</s:f>
        <s:v>30</s:v>
      </s:c>
      <s:c r="I10" s="27">
        <s:f>Assumptions!$B$63</s:f>
        <s:v>37</s:v>
      </s:c>
      <s:c r="J10" s="27">
        <s:f>Assumptions!$B$64</s:f>
        <s:v>44</s:v>
      </s:c>
      <s:c r="K10" s="27">
        <s:f>Assumptions!$B$65</s:f>
        <s:v>51</s:v>
      </s:c>
      <s:c r="L10" s="27">
        <s:f>Assumptions!$B$66</s:f>
        <s:v>58</s:v>
      </s:c>
      <s:c r="M10" s="27">
        <s:f>Assumptions!$B$67</s:f>
        <s:v>64</s:v>
      </s:c>
      <s:c r="N10" s="27">
        <s:f>Assumptions!$B$68</s:f>
        <s:v>71</s:v>
      </s:c>
      <s:c r="O10" s="27">
        <s:f>Assumptions!$B$69</s:f>
        <s:v>78</s:v>
      </s:c>
      <s:c r="P10" s="27">
        <s:f>Assumptions!$B$70</s:f>
        <s:v>85</s:v>
      </s:c>
      <s:c r="Q10" s="27">
        <s:f>Assumptions!$B$71</s:f>
        <s:v>91</s:v>
      </s:c>
      <s:c r="R10" s="27">
        <s:f>Assumptions!$B$72</s:f>
        <s:v>98</s:v>
      </s:c>
      <s:c r="S10" s="27">
        <s:f>Assumptions!$B$73</s:f>
        <s:v>105</s:v>
      </s:c>
      <s:c r="T10" s="27">
        <s:f>Assumptions!$B$74</s:f>
        <s:v>112</s:v>
      </s:c>
    </s:row>
    <s:row r="11">
      <s:c r="A11" s="5" t="inlineStr">
        <s:is>
          <s:t>Standard — Churned (lost)</s:t>
        </s:is>
      </s:c>
      <s:c r="B11" s="26">
        <s:f>0</s:f>
        <s:v>0</s:v>
      </s:c>
      <s:c r="C11" s="26">
        <s:f>0</s:f>
        <s:v>0</s:v>
      </s:c>
      <s:c r="D11" s="26">
        <s:f>0</s:f>
        <s:v>0</s:v>
      </s:c>
      <s:c r="E11" s="26">
        <s:f>0</s:f>
        <s:v>0</s:v>
      </s:c>
      <s:c r="F11" s="26">
        <s:f>ROUND(E12*Assumptions!$B$77,0)</s:f>
        <s:v>0</s:v>
      </s:c>
      <s:c r="G11" s="26">
        <s:f>ROUND(F12*Assumptions!$B$77,0)</s:f>
        <s:v>0</s:v>
      </s:c>
      <s:c r="H11" s="26">
        <s:f>ROUND(G12*Assumptions!$B$77,0)</s:f>
        <s:v>1</s:v>
      </s:c>
      <s:c r="I11" s="26">
        <s:f>ROUND(H12*Assumptions!$B$77,0)</s:f>
        <s:v>1</s:v>
      </s:c>
      <s:c r="J11" s="26">
        <s:f>ROUND(I12*Assumptions!$B$77,0)</s:f>
        <s:v>2</s:v>
      </s:c>
      <s:c r="K11" s="26">
        <s:f>ROUND(J12*Assumptions!$B$77,0)</s:f>
        <s:v>2</s:v>
      </s:c>
      <s:c r="L11" s="26">
        <s:f>ROUND(K12*Assumptions!$B$77,0)</s:f>
        <s:v>3</s:v>
      </s:c>
      <s:c r="M11" s="26">
        <s:f>ROUND(L12*Assumptions!$B$77,0)</s:f>
        <s:v>4</s:v>
      </s:c>
      <s:c r="N11" s="26">
        <s:f>ROUND(M12*Assumptions!$B$77,0)</s:f>
        <s:v>5</s:v>
      </s:c>
      <s:c r="O11" s="26">
        <s:f>ROUND(N12*Assumptions!$B$77,0)</s:f>
        <s:v>6</s:v>
      </s:c>
      <s:c r="P11" s="26">
        <s:f>ROUND(O12*Assumptions!$B$77,0)</s:f>
        <s:v>7</s:v>
      </s:c>
      <s:c r="Q11" s="26">
        <s:f>ROUND(P12*Assumptions!$B$77,0)</s:f>
        <s:v>8</s:v>
      </s:c>
      <s:c r="R11" s="26">
        <s:f>ROUND(Q12*Assumptions!$B$77,0)</s:f>
        <s:v>9</s:v>
      </s:c>
      <s:c r="S11" s="26">
        <s:f>ROUND(R12*Assumptions!$B$77,0)</s:f>
        <s:v>11</s:v>
      </s:c>
      <s:c r="T11" s="26">
        <s:f>ROUND(S12*Assumptions!$B$77,0)</s:f>
        <s:v>12</s:v>
      </s:c>
    </s:row>
    <s:row r="12">
      <s:c r="A12" s="5" t="inlineStr">
        <s:is>
          <s:t>Standard Advisors (count)</s:t>
        </s:is>
      </s:c>
      <s:c r="B12" s="26">
        <s:f>0</s:f>
        <s:v>0</s:v>
      </s:c>
      <s:c r="C12" s="26">
        <s:f>0</s:f>
        <s:v>0</s:v>
      </s:c>
      <s:c r="D12" s="26">
        <s:f>0</s:f>
        <s:v>0</s:v>
      </s:c>
      <s:c r="E12" s="26">
        <s:f>E10</s:f>
        <s:v>10</s:v>
      </s:c>
      <s:c r="F12" s="26">
        <s:f>E12+F10-F11</s:f>
        <s:v>27</s:v>
      </s:c>
      <s:c r="G12" s="26">
        <s:f>F12+G10-G11</s:f>
        <s:v>51</s:v>
      </s:c>
      <s:c r="H12" s="26">
        <s:f>G12+H10-H11</s:f>
        <s:v>80</s:v>
      </s:c>
      <s:c r="I12" s="26">
        <s:f>H12+I10-I11</s:f>
        <s:v>116</s:v>
      </s:c>
      <s:c r="J12" s="26">
        <s:f>I12+J10-J11</s:f>
        <s:v>158</s:v>
      </s:c>
      <s:c r="K12" s="26">
        <s:f>J12+K10-K11</s:f>
        <s:v>207</s:v>
      </s:c>
      <s:c r="L12" s="26">
        <s:f>K12+L10-L11</s:f>
        <s:v>262</s:v>
      </s:c>
      <s:c r="M12" s="26">
        <s:f>L12+M10-M11</s:f>
        <s:v>322</s:v>
      </s:c>
      <s:c r="N12" s="26">
        <s:f>M12+N10-N11</s:f>
        <s:v>388</s:v>
      </s:c>
      <s:c r="O12" s="26">
        <s:f>N12+O10-O11</s:f>
        <s:v>460</s:v>
      </s:c>
      <s:c r="P12" s="26">
        <s:f>O12+P10-P11</s:f>
        <s:v>538</s:v>
      </s:c>
      <s:c r="Q12" s="26">
        <s:f>P12+Q10-Q11</s:f>
        <s:v>621</s:v>
      </s:c>
      <s:c r="R12" s="26">
        <s:f>Q12+R10-R11</s:f>
        <s:v>710</s:v>
      </s:c>
      <s:c r="S12" s="26">
        <s:f>R12+S10-S11</s:f>
        <s:v>804</s:v>
      </s:c>
      <s:c r="T12" s="26">
        <s:f>S12+T10-T11</s:f>
        <s:v>904</s:v>
      </s:c>
    </s:row>
    <s:row r="13">
      <s:c r="A13" s="25" t="inlineStr">
        <s:is>
          <s:t>Total Advisors</s:t>
        </s:is>
      </s:c>
      <s:c r="B13" s="28">
        <s:f>B9+B12</s:f>
        <s:v>0</s:v>
      </s:c>
      <s:c r="C13" s="28">
        <s:f>C9+C12</s:f>
        <s:v>10</s:v>
      </s:c>
      <s:c r="D13" s="28">
        <s:f>D9+D12</s:f>
        <s:v>20</s:v>
      </s:c>
      <s:c r="E13" s="28">
        <s:f>E9+E12</s:f>
        <s:v>30</s:v>
      </s:c>
      <s:c r="F13" s="28">
        <s:f>F9+F12</s:f>
        <s:v>47</s:v>
      </s:c>
      <s:c r="G13" s="28">
        <s:f>G9+G12</s:f>
        <s:v>71</s:v>
      </s:c>
      <s:c r="H13" s="28">
        <s:f>H9+H12</s:f>
        <s:v>100</s:v>
      </s:c>
      <s:c r="I13" s="28">
        <s:f>I9+I12</s:f>
        <s:v>136</s:v>
      </s:c>
      <s:c r="J13" s="28">
        <s:f>J9+J12</s:f>
        <s:v>178</s:v>
      </s:c>
      <s:c r="K13" s="28">
        <s:f>K9+K12</s:f>
        <s:v>227</s:v>
      </s:c>
      <s:c r="L13" s="28">
        <s:f>L9+L12</s:f>
        <s:v>282</s:v>
      </s:c>
      <s:c r="M13" s="28">
        <s:f>M9+M12</s:f>
        <s:v>342</s:v>
      </s:c>
      <s:c r="N13" s="28">
        <s:f>N9+N12</s:f>
        <s:v>408</s:v>
      </s:c>
      <s:c r="O13" s="28">
        <s:f>O9+O12</s:f>
        <s:v>480</s:v>
      </s:c>
      <s:c r="P13" s="28">
        <s:f>P9+P12</s:f>
        <s:v>558</s:v>
      </s:c>
      <s:c r="Q13" s="28">
        <s:f>Q9+Q12</s:f>
        <s:v>641</s:v>
      </s:c>
      <s:c r="R13" s="28">
        <s:f>R9+R12</s:f>
        <s:v>730</s:v>
      </s:c>
      <s:c r="S13" s="28">
        <s:f>S9+S12</s:f>
        <s:v>824</s:v>
      </s:c>
      <s:c r="T13" s="28">
        <s:f>T9+T12</s:f>
        <s:v>924</s:v>
      </s:c>
    </s:row>
    <s:row r="14">
      <s:c r="A14" s="5" t="inlineStr">
        <s:is>
          <s:t>Revenue — Founding</s:t>
        </s:is>
      </s:c>
      <s:c r="B14" s="21">
        <s:f>B9*Assumptions!$B$54</s:f>
        <s:v>0</s:v>
      </s:c>
      <s:c r="C14" s="21">
        <s:f>C9*Assumptions!$B$54</s:f>
        <s:v>1990</s:v>
      </s:c>
      <s:c r="D14" s="21">
        <s:f>D9*Assumptions!$B$54</s:f>
        <s:v>3980</s:v>
      </s:c>
      <s:c r="E14" s="21">
        <s:f>E9*Assumptions!$B$54</s:f>
        <s:v>3980</s:v>
      </s:c>
      <s:c r="F14" s="21">
        <s:f>F9*Assumptions!$B$54</s:f>
        <s:v>3980</s:v>
      </s:c>
      <s:c r="G14" s="21">
        <s:f>G9*Assumptions!$B$54</s:f>
        <s:v>3980</s:v>
      </s:c>
      <s:c r="H14" s="21">
        <s:f>H9*Assumptions!$B$54</s:f>
        <s:v>3980</s:v>
      </s:c>
      <s:c r="I14" s="21">
        <s:f>I9*Assumptions!$B$54</s:f>
        <s:v>3980</s:v>
      </s:c>
      <s:c r="J14" s="21">
        <s:f>J9*Assumptions!$B$54</s:f>
        <s:v>3980</s:v>
      </s:c>
      <s:c r="K14" s="21">
        <s:f>K9*Assumptions!$B$54</s:f>
        <s:v>3980</s:v>
      </s:c>
      <s:c r="L14" s="21">
        <s:f>L9*Assumptions!$B$54</s:f>
        <s:v>3980</s:v>
      </s:c>
      <s:c r="M14" s="21">
        <s:f>M9*Assumptions!$B$54</s:f>
        <s:v>3980</s:v>
      </s:c>
      <s:c r="N14" s="21">
        <s:f>N9*Assumptions!$B$54</s:f>
        <s:v>3980</s:v>
      </s:c>
      <s:c r="O14" s="21">
        <s:f>O9*Assumptions!$B$54</s:f>
        <s:v>3980</s:v>
      </s:c>
      <s:c r="P14" s="21">
        <s:f>P9*Assumptions!$B$54</s:f>
        <s:v>3980</s:v>
      </s:c>
      <s:c r="Q14" s="21">
        <s:f>Q9*Assumptions!$B$54</s:f>
        <s:v>3980</s:v>
      </s:c>
      <s:c r="R14" s="21">
        <s:f>R9*Assumptions!$B$54</s:f>
        <s:v>3980</s:v>
      </s:c>
      <s:c r="S14" s="21">
        <s:f>S9*Assumptions!$B$54</s:f>
        <s:v>3980</s:v>
      </s:c>
      <s:c r="T14" s="21">
        <s:f>T9*Assumptions!$B$54</s:f>
        <s:v>3980</s:v>
      </s:c>
    </s:row>
    <s:row r="15">
      <s:c r="A15" s="5" t="inlineStr">
        <s:is>
          <s:t>Revenue — Standard</s:t>
        </s:is>
      </s:c>
      <s:c r="B15" s="21">
        <s:f>B12*Assumptions!$B$55</s:f>
        <s:v>0</s:v>
      </s:c>
      <s:c r="C15" s="21">
        <s:f>C12*Assumptions!$B$55</s:f>
        <s:v>0</s:v>
      </s:c>
      <s:c r="D15" s="21">
        <s:f>D12*Assumptions!$B$55</s:f>
        <s:v>0</s:v>
      </s:c>
      <s:c r="E15" s="21">
        <s:f>E12*Assumptions!$B$55</s:f>
        <s:v>4990</s:v>
      </s:c>
      <s:c r="F15" s="21">
        <s:f>F12*Assumptions!$B$55</s:f>
        <s:v>13473</s:v>
      </s:c>
      <s:c r="G15" s="21">
        <s:f>G12*Assumptions!$B$55</s:f>
        <s:v>25449</s:v>
      </s:c>
      <s:c r="H15" s="21">
        <s:f>H12*Assumptions!$B$55</s:f>
        <s:v>39920</s:v>
      </s:c>
      <s:c r="I15" s="21">
        <s:f>I12*Assumptions!$B$55</s:f>
        <s:v>57884</s:v>
      </s:c>
      <s:c r="J15" s="21">
        <s:f>J12*Assumptions!$B$55</s:f>
        <s:v>78842</s:v>
      </s:c>
      <s:c r="K15" s="21">
        <s:f>K12*Assumptions!$B$55</s:f>
        <s:v>103293</s:v>
      </s:c>
      <s:c r="L15" s="21">
        <s:f>L12*Assumptions!$B$55</s:f>
        <s:v>130738</s:v>
      </s:c>
      <s:c r="M15" s="21">
        <s:f>M12*Assumptions!$B$55</s:f>
        <s:v>160678</s:v>
      </s:c>
      <s:c r="N15" s="21">
        <s:f>N12*Assumptions!$B$55</s:f>
        <s:v>193612</s:v>
      </s:c>
      <s:c r="O15" s="21">
        <s:f>O12*Assumptions!$B$55</s:f>
        <s:v>229540</s:v>
      </s:c>
      <s:c r="P15" s="21">
        <s:f>P12*Assumptions!$B$55</s:f>
        <s:v>268462</s:v>
      </s:c>
      <s:c r="Q15" s="21">
        <s:f>Q12*Assumptions!$B$55</s:f>
        <s:v>309879</s:v>
      </s:c>
      <s:c r="R15" s="21">
        <s:f>R12*Assumptions!$B$55</s:f>
        <s:v>354290</s:v>
      </s:c>
      <s:c r="S15" s="21">
        <s:f>S12*Assumptions!$B$55</s:f>
        <s:v>401196</s:v>
      </s:c>
      <s:c r="T15" s="21">
        <s:f>T12*Assumptions!$B$55</s:f>
        <s:v>451096</s:v>
      </s:c>
    </s:row>
    <s:row r="16">
      <s:c r="A16" s="25" t="inlineStr">
        <s:is>
          <s:t>TOTAL MRR</s:t>
        </s:is>
      </s:c>
      <s:c r="B16" s="22">
        <s:f>B14+B15</s:f>
        <s:v>0</s:v>
      </s:c>
      <s:c r="C16" s="22">
        <s:f>C14+C15</s:f>
        <s:v>1990</s:v>
      </s:c>
      <s:c r="D16" s="22">
        <s:f>D14+D15</s:f>
        <s:v>3980</s:v>
      </s:c>
      <s:c r="E16" s="22">
        <s:f>E14+E15</s:f>
        <s:v>8970</s:v>
      </s:c>
      <s:c r="F16" s="22">
        <s:f>F14+F15</s:f>
        <s:v>17453</s:v>
      </s:c>
      <s:c r="G16" s="22">
        <s:f>G14+G15</s:f>
        <s:v>29429</s:v>
      </s:c>
      <s:c r="H16" s="22">
        <s:f>H14+H15</s:f>
        <s:v>43900</s:v>
      </s:c>
      <s:c r="I16" s="22">
        <s:f>I14+I15</s:f>
        <s:v>61864</s:v>
      </s:c>
      <s:c r="J16" s="22">
        <s:f>J14+J15</s:f>
        <s:v>82822</s:v>
      </s:c>
      <s:c r="K16" s="22">
        <s:f>K14+K15</s:f>
        <s:v>107273</s:v>
      </s:c>
      <s:c r="L16" s="22">
        <s:f>L14+L15</s:f>
        <s:v>134718</s:v>
      </s:c>
      <s:c r="M16" s="22">
        <s:f>M14+M15</s:f>
        <s:v>164658</s:v>
      </s:c>
      <s:c r="N16" s="22">
        <s:f>N14+N15</s:f>
        <s:v>197592</s:v>
      </s:c>
      <s:c r="O16" s="22">
        <s:f>O14+O15</s:f>
        <s:v>233520</s:v>
      </s:c>
      <s:c r="P16" s="22">
        <s:f>P14+P15</s:f>
        <s:v>272442</s:v>
      </s:c>
      <s:c r="Q16" s="22">
        <s:f>Q14+Q15</s:f>
        <s:v>313859</s:v>
      </s:c>
      <s:c r="R16" s="22">
        <s:f>R14+R15</s:f>
        <s:v>358270</s:v>
      </s:c>
      <s:c r="S16" s="22">
        <s:f>S14+S15</s:f>
        <s:v>405176</s:v>
      </s:c>
      <s:c r="T16" s="22">
        <s:f>T14+T15</s:f>
        <s:v>455076</s:v>
      </s:c>
    </s:row>
    <s:row r="18">
      <s:c r="A18" s="3" t="inlineStr">
        <s:is>
          <s:t>COST OF REVENUE</s:t>
        </s:is>
      </s:c>
      <s:c r="B18" s="4" t="inlineStr"/>
      <s:c r="C18" s="4" t="inlineStr"/>
      <s:c r="D18" s="4" t="inlineStr"/>
      <s:c r="E18" s="4" t="inlineStr"/>
      <s:c r="F18" s="4" t="inlineStr"/>
      <s:c r="G18" s="4" t="inlineStr"/>
      <s:c r="H18" s="4" t="inlineStr"/>
      <s:c r="I18" s="4" t="inlineStr"/>
      <s:c r="J18" s="4" t="inlineStr"/>
      <s:c r="K18" s="4" t="inlineStr"/>
      <s:c r="L18" s="4" t="inlineStr"/>
      <s:c r="M18" s="4" t="inlineStr"/>
      <s:c r="N18" s="4" t="inlineStr"/>
      <s:c r="O18" s="4" t="inlineStr"/>
      <s:c r="P18" s="4" t="inlineStr"/>
      <s:c r="Q18" s="4" t="inlineStr"/>
      <s:c r="R18" s="4" t="inlineStr"/>
      <s:c r="S18" s="4" t="inlineStr"/>
      <s:c r="T18" s="4" t="inlineStr"/>
    </s:row>
    <s:row r="19">
      <s:c r="A19" s="5" t="inlineStr">
        <s:is>
          <s:t>Payment Processing</s:t>
        </s:is>
      </s:c>
      <s:c r="B19" s="21">
        <s:f>ROUND(B16*Assumptions!$B$51,0)</s:f>
        <s:v>0</s:v>
      </s:c>
      <s:c r="C19" s="21">
        <s:f>ROUND(C16*Assumptions!$B$51,0)</s:f>
        <s:v>58</s:v>
      </s:c>
      <s:c r="D19" s="21">
        <s:f>ROUND(D16*Assumptions!$B$51,0)</s:f>
        <s:v>115</s:v>
      </s:c>
      <s:c r="E19" s="21">
        <s:f>ROUND(E16*Assumptions!$B$51,0)</s:f>
        <s:v>260</s:v>
      </s:c>
      <s:c r="F19" s="21">
        <s:f>ROUND(F16*Assumptions!$B$51,0)</s:f>
        <s:v>506</s:v>
      </s:c>
      <s:c r="G19" s="21">
        <s:f>ROUND(G16*Assumptions!$B$51,0)</s:f>
        <s:v>853</s:v>
      </s:c>
      <s:c r="H19" s="21">
        <s:f>ROUND(H16*Assumptions!$B$51,0)</s:f>
        <s:v>1273</s:v>
      </s:c>
      <s:c r="I19" s="21">
        <s:f>ROUND(I16*Assumptions!$B$51,0)</s:f>
        <s:v>1794</s:v>
      </s:c>
      <s:c r="J19" s="21">
        <s:f>ROUND(J16*Assumptions!$B$51,0)</s:f>
        <s:v>2402</s:v>
      </s:c>
      <s:c r="K19" s="21">
        <s:f>ROUND(K16*Assumptions!$B$51,0)</s:f>
        <s:v>3111</s:v>
      </s:c>
      <s:c r="L19" s="21">
        <s:f>ROUND(L16*Assumptions!$B$51,0)</s:f>
        <s:v>3907</s:v>
      </s:c>
      <s:c r="M19" s="21">
        <s:f>ROUND(M16*Assumptions!$B$51,0)</s:f>
        <s:v>4775</s:v>
      </s:c>
      <s:c r="N19" s="21">
        <s:f>ROUND(N16*Assumptions!$B$51,0)</s:f>
        <s:v>5730</s:v>
      </s:c>
      <s:c r="O19" s="21">
        <s:f>ROUND(O16*Assumptions!$B$51,0)</s:f>
        <s:v>6772</s:v>
      </s:c>
      <s:c r="P19" s="21">
        <s:f>ROUND(P16*Assumptions!$B$51,0)</s:f>
        <s:v>7901</s:v>
      </s:c>
      <s:c r="Q19" s="21">
        <s:f>ROUND(Q16*Assumptions!$B$51,0)</s:f>
        <s:v>9102</s:v>
      </s:c>
      <s:c r="R19" s="21">
        <s:f>ROUND(R16*Assumptions!$B$51,0)</s:f>
        <s:v>10390</s:v>
      </s:c>
      <s:c r="S19" s="21">
        <s:f>ROUND(S16*Assumptions!$B$51,0)</s:f>
        <s:v>11750</s:v>
      </s:c>
      <s:c r="T19" s="21">
        <s:f>ROUND(T16*Assumptions!$B$51,0)</s:f>
        <s:v>13197</s:v>
      </s:c>
    </s:row>
    <s:row r="20">
      <s:c r="A20" s="25" t="inlineStr">
        <s:is>
          <s:t>TOTAL COGS</s:t>
        </s:is>
      </s:c>
      <s:c r="B20" s="22">
        <s:f>B19</s:f>
        <s:v>0</s:v>
      </s:c>
      <s:c r="C20" s="22">
        <s:f>C19</s:f>
        <s:v>58</s:v>
      </s:c>
      <s:c r="D20" s="22">
        <s:f>D19</s:f>
        <s:v>115</s:v>
      </s:c>
      <s:c r="E20" s="22">
        <s:f>E19</s:f>
        <s:v>260</s:v>
      </s:c>
      <s:c r="F20" s="22">
        <s:f>F19</s:f>
        <s:v>506</s:v>
      </s:c>
      <s:c r="G20" s="22">
        <s:f>G19</s:f>
        <s:v>853</s:v>
      </s:c>
      <s:c r="H20" s="22">
        <s:f>H19</s:f>
        <s:v>1273</s:v>
      </s:c>
      <s:c r="I20" s="22">
        <s:f>I19</s:f>
        <s:v>1794</s:v>
      </s:c>
      <s:c r="J20" s="22">
        <s:f>J19</s:f>
        <s:v>2402</s:v>
      </s:c>
      <s:c r="K20" s="22">
        <s:f>K19</s:f>
        <s:v>3111</s:v>
      </s:c>
      <s:c r="L20" s="22">
        <s:f>L19</s:f>
        <s:v>3907</s:v>
      </s:c>
      <s:c r="M20" s="22">
        <s:f>M19</s:f>
        <s:v>4775</s:v>
      </s:c>
      <s:c r="N20" s="22">
        <s:f>N19</s:f>
        <s:v>5730</s:v>
      </s:c>
      <s:c r="O20" s="22">
        <s:f>O19</s:f>
        <s:v>6772</s:v>
      </s:c>
      <s:c r="P20" s="22">
        <s:f>P19</s:f>
        <s:v>7901</s:v>
      </s:c>
      <s:c r="Q20" s="22">
        <s:f>Q19</s:f>
        <s:v>9102</s:v>
      </s:c>
      <s:c r="R20" s="22">
        <s:f>R19</s:f>
        <s:v>10390</s:v>
      </s:c>
      <s:c r="S20" s="22">
        <s:f>S19</s:f>
        <s:v>11750</s:v>
      </s:c>
      <s:c r="T20" s="22">
        <s:f>T19</s:f>
        <s:v>13197</s:v>
      </s:c>
    </s:row>
    <s:row r="22">
      <s:c r="A22" s="3" t="inlineStr">
        <s:is>
          <s:t>GROSS PROFIT</s:t>
        </s:is>
      </s:c>
      <s:c r="B22" s="4" t="inlineStr"/>
      <s:c r="C22" s="4" t="inlineStr"/>
      <s:c r="D22" s="4" t="inlineStr"/>
      <s:c r="E22" s="4" t="inlineStr"/>
      <s:c r="F22" s="4" t="inlineStr"/>
      <s:c r="G22" s="4" t="inlineStr"/>
      <s:c r="H22" s="4" t="inlineStr"/>
      <s:c r="I22" s="4" t="inlineStr"/>
      <s:c r="J22" s="4" t="inlineStr"/>
      <s:c r="K22" s="4" t="inlineStr"/>
      <s:c r="L22" s="4" t="inlineStr"/>
      <s:c r="M22" s="4" t="inlineStr"/>
      <s:c r="N22" s="4" t="inlineStr"/>
      <s:c r="O22" s="4" t="inlineStr"/>
      <s:c r="P22" s="4" t="inlineStr"/>
      <s:c r="Q22" s="4" t="inlineStr"/>
      <s:c r="R22" s="4" t="inlineStr"/>
      <s:c r="S22" s="4" t="inlineStr"/>
      <s:c r="T22" s="4" t="inlineStr"/>
    </s:row>
    <s:row r="23">
      <s:c r="A23" s="25" t="inlineStr">
        <s:is>
          <s:t>Gross Profit</s:t>
        </s:is>
      </s:c>
      <s:c r="B23" s="22">
        <s:f>B16-B20</s:f>
        <s:v>0</s:v>
      </s:c>
      <s:c r="C23" s="22">
        <s:f>C16-C20</s:f>
        <s:v>1932</s:v>
      </s:c>
      <s:c r="D23" s="22">
        <s:f>D16-D20</s:f>
        <s:v>3865</s:v>
      </s:c>
      <s:c r="E23" s="22">
        <s:f>E16-E20</s:f>
        <s:v>8710</s:v>
      </s:c>
      <s:c r="F23" s="22">
        <s:f>F16-F20</s:f>
        <s:v>16947</s:v>
      </s:c>
      <s:c r="G23" s="22">
        <s:f>G16-G20</s:f>
        <s:v>28576</s:v>
      </s:c>
      <s:c r="H23" s="22">
        <s:f>H16-H20</s:f>
        <s:v>42627</s:v>
      </s:c>
      <s:c r="I23" s="22">
        <s:f>I16-I20</s:f>
        <s:v>60070</s:v>
      </s:c>
      <s:c r="J23" s="22">
        <s:f>J16-J20</s:f>
        <s:v>80420</s:v>
      </s:c>
      <s:c r="K23" s="22">
        <s:f>K16-K20</s:f>
        <s:v>104162</s:v>
      </s:c>
      <s:c r="L23" s="22">
        <s:f>L16-L20</s:f>
        <s:v>130811</s:v>
      </s:c>
      <s:c r="M23" s="22">
        <s:f>M16-M20</s:f>
        <s:v>159883</s:v>
      </s:c>
      <s:c r="N23" s="22">
        <s:f>N16-N20</s:f>
        <s:v>191862</s:v>
      </s:c>
      <s:c r="O23" s="22">
        <s:f>O16-O20</s:f>
        <s:v>226748</s:v>
      </s:c>
      <s:c r="P23" s="22">
        <s:f>P16-P20</s:f>
        <s:v>264541</s:v>
      </s:c>
      <s:c r="Q23" s="22">
        <s:f>Q16-Q20</s:f>
        <s:v>304757</s:v>
      </s:c>
      <s:c r="R23" s="22">
        <s:f>R16-R20</s:f>
        <s:v>347880</s:v>
      </s:c>
      <s:c r="S23" s="22">
        <s:f>S16-S20</s:f>
        <s:v>393426</s:v>
      </s:c>
      <s:c r="T23" s="22">
        <s:f>T16-T20</s:f>
        <s:v>441879</s:v>
      </s:c>
    </s:row>
    <s:row r="24">
      <s:c r="A24" s="5" t="inlineStr">
        <s:is>
          <s:t>Gross Margin %</s:t>
        </s:is>
      </s:c>
      <s:c r="B24" s="24">
        <s:f>IFERROR(B23/B16,0)</s:f>
        <s:v>0</s:v>
      </s:c>
      <s:c r="C24" s="24">
        <s:f>IFERROR(C23/C16,0)</s:f>
        <s:v>0.9708542713567839</s:v>
      </s:c>
      <s:c r="D24" s="24">
        <s:f>IFERROR(D23/D16,0)</s:f>
        <s:v>0.9711055276381909</s:v>
      </s:c>
      <s:c r="E24" s="24">
        <s:f>IFERROR(E23/E16,0)</s:f>
        <s:v>0.9710144927536232</s:v>
      </s:c>
      <s:c r="F24" s="24">
        <s:f>IFERROR(F23/F16,0)</s:f>
        <s:v>0.9710078496533547</s:v>
      </s:c>
      <s:c r="G24" s="24">
        <s:f>IFERROR(G23/G16,0)</s:f>
        <s:v>0.9710149852186619</s:v>
      </s:c>
      <s:c r="H24" s="24">
        <s:f>IFERROR(H23/H16,0)</s:f>
        <s:v>0.971002277904328</s:v>
      </s:c>
      <s:c r="I24" s="24">
        <s:f>IFERROR(I23/I16,0)</s:f>
        <s:v>0.9710009052114316</s:v>
      </s:c>
      <s:c r="J24" s="24">
        <s:f>IFERROR(J23/J16,0)</s:f>
        <s:v>0.9709980439979715</s:v>
      </s:c>
      <s:c r="K24" s="24">
        <s:f>IFERROR(K23/K16,0)</s:f>
        <s:v>0.9709992262731535</s:v>
      </s:c>
      <s:c r="L24" s="24">
        <s:f>IFERROR(L23/L16,0)</s:f>
        <s:v>0.9709986787214775</s:v>
      </s:c>
      <s:c r="M24" s="24">
        <s:f>IFERROR(M23/M16,0)</s:f>
        <s:v>0.9710004980019191</s:v>
      </s:c>
      <s:c r="N24" s="24">
        <s:f>IFERROR(N23/N16,0)</s:f>
        <s:v>0.9710008502368517</s:v>
      </s:c>
      <s:c r="O24" s="24">
        <s:f>IFERROR(O23/O16,0)</s:f>
        <s:v>0.9710003425830764</s:v>
      </s:c>
      <s:c r="P24" s="24">
        <s:f>IFERROR(P23/P16,0)</s:f>
        <s:v>0.9709993319679051</s:v>
      </s:c>
      <s:c r="Q24" s="24">
        <s:f>IFERROR(Q23/Q16,0)</s:f>
        <s:v>0.9709997164331754</s:v>
      </s:c>
      <s:c r="R24" s="24">
        <s:f>IFERROR(R23/R16,0)</s:f>
        <s:v>0.9709995254975298</s:v>
      </s:c>
      <s:c r="S24" s="24">
        <s:f>IFERROR(S23/S16,0)</s:f>
        <s:v>0.9710002566785791</s:v>
      </s:c>
      <s:c r="T24" s="24">
        <s:f>IFERROR(T23/T16,0)</s:f>
        <s:v>0.9710004482767713</s:v>
      </s:c>
    </s:row>
    <s:row r="26">
      <s:c r="A26" s="3" t="inlineStr">
        <s:is>
          <s:t>FIXED OPERATING EXPENSES (cash)</s:t>
        </s:is>
      </s:c>
      <s:c r="B26" s="4" t="inlineStr"/>
      <s:c r="C26" s="4" t="inlineStr"/>
      <s:c r="D26" s="4" t="inlineStr"/>
      <s:c r="E26" s="4" t="inlineStr"/>
      <s:c r="F26" s="4" t="inlineStr"/>
      <s:c r="G26" s="4" t="inlineStr"/>
      <s:c r="H26" s="4" t="inlineStr"/>
      <s:c r="I26" s="4" t="inlineStr"/>
      <s:c r="J26" s="4" t="inlineStr"/>
      <s:c r="K26" s="4" t="inlineStr"/>
      <s:c r="L26" s="4" t="inlineStr"/>
      <s:c r="M26" s="4" t="inlineStr"/>
      <s:c r="N26" s="4" t="inlineStr"/>
      <s:c r="O26" s="4" t="inlineStr"/>
      <s:c r="P26" s="4" t="inlineStr"/>
      <s:c r="Q26" s="4" t="inlineStr"/>
      <s:c r="R26" s="4" t="inlineStr"/>
      <s:c r="S26" s="4" t="inlineStr"/>
      <s:c r="T26" s="4" t="inlineStr"/>
    </s:row>
    <s:row r="27">
      <s:c r="A27" s="5" t="inlineStr">
        <s:is>
          <s:t>Founder Draw — Matthew (gated)</s:t>
        </s:is>
      </s:c>
      <s:c r="B27" s="21">
        <s:f>IF(B23&gt;=Assumptions!$B$11,Assumptions!$B$11,0)</s:f>
        <s:v>0</s:v>
      </s:c>
      <s:c r="C27" s="21">
        <s:f>IF(OR(B27&gt;0,C23&gt;=Assumptions!$B$11),Assumptions!$B$11,0)</s:f>
        <s:v>0</s:v>
      </s:c>
      <s:c r="D27" s="21">
        <s:f>IF(OR(C27&gt;0,D23&gt;=Assumptions!$B$11),Assumptions!$B$11,0)</s:f>
        <s:v>0</s:v>
      </s:c>
      <s:c r="E27" s="21">
        <s:f>IF(OR(D27&gt;0,E23&gt;=Assumptions!$B$11),Assumptions!$B$11,0)</s:f>
        <s:v>5000</s:v>
      </s:c>
      <s:c r="F27" s="21">
        <s:f>IF(OR(E27&gt;0,F23&gt;=Assumptions!$B$11),Assumptions!$B$11,0)</s:f>
        <s:v>5000</s:v>
      </s:c>
      <s:c r="G27" s="21">
        <s:f>IF(OR(F27&gt;0,G23&gt;=Assumptions!$B$11),Assumptions!$B$11,0)</s:f>
        <s:v>5000</s:v>
      </s:c>
      <s:c r="H27" s="21">
        <s:f>IF(OR(G27&gt;0,H23&gt;=Assumptions!$B$11),Assumptions!$B$11,0)</s:f>
        <s:v>5000</s:v>
      </s:c>
      <s:c r="I27" s="21">
        <s:f>IF(OR(H27&gt;0,I23&gt;=Assumptions!$B$11),Assumptions!$B$11,0)</s:f>
        <s:v>5000</s:v>
      </s:c>
      <s:c r="J27" s="21">
        <s:f>IF(OR(I27&gt;0,J23&gt;=Assumptions!$B$11),Assumptions!$B$11,0)</s:f>
        <s:v>5000</s:v>
      </s:c>
      <s:c r="K27" s="21">
        <s:f>IF(OR(J27&gt;0,K23&gt;=Assumptions!$B$11),Assumptions!$B$11,0)</s:f>
        <s:v>5000</s:v>
      </s:c>
      <s:c r="L27" s="21">
        <s:f>IF(OR(K27&gt;0,L23&gt;=Assumptions!$B$11),Assumptions!$B$11,0)</s:f>
        <s:v>5000</s:v>
      </s:c>
      <s:c r="M27" s="21">
        <s:f>IF(OR(L27&gt;0,M23&gt;=Assumptions!$B$11),Assumptions!$B$11,0)</s:f>
        <s:v>5000</s:v>
      </s:c>
      <s:c r="N27" s="21">
        <s:f>IF(OR(M27&gt;0,N23&gt;=Assumptions!$B$11),Assumptions!$B$11,0)</s:f>
        <s:v>5000</s:v>
      </s:c>
      <s:c r="O27" s="21">
        <s:f>IF(OR(N27&gt;0,O23&gt;=Assumptions!$B$11),Assumptions!$B$11,0)</s:f>
        <s:v>5000</s:v>
      </s:c>
      <s:c r="P27" s="21">
        <s:f>IF(OR(O27&gt;0,P23&gt;=Assumptions!$B$11),Assumptions!$B$11,0)</s:f>
        <s:v>5000</s:v>
      </s:c>
      <s:c r="Q27" s="21">
        <s:f>IF(OR(P27&gt;0,Q23&gt;=Assumptions!$B$11),Assumptions!$B$11,0)</s:f>
        <s:v>5000</s:v>
      </s:c>
      <s:c r="R27" s="21">
        <s:f>IF(OR(Q27&gt;0,R23&gt;=Assumptions!$B$11),Assumptions!$B$11,0)</s:f>
        <s:v>5000</s:v>
      </s:c>
      <s:c r="S27" s="21">
        <s:f>IF(OR(R27&gt;0,S23&gt;=Assumptions!$B$11),Assumptions!$B$11,0)</s:f>
        <s:v>5000</s:v>
      </s:c>
      <s:c r="T27" s="21">
        <s:f>IF(OR(S27&gt;0,T23&gt;=Assumptions!$B$11),Assumptions!$B$11,0)</s:f>
        <s:v>5000</s:v>
      </s:c>
      <s:c r="U27" s="8" t="inlineStr">
        <s:is>
          <s:t>Off until gross profit &gt;= target</s:t>
        </s:is>
      </s:c>
    </s:row>
    <s:row r="28">
      <s:c r="A28" s="5" t="inlineStr">
        <s:is>
          <s:t>Bloom Growth (EOS)</s:t>
        </s:is>
      </s:c>
      <s:c r="B28" s="21">
        <s:f>Assumptions!$B$24</s:f>
        <s:v>299</s:v>
      </s:c>
      <s:c r="C28" s="21">
        <s:f>Assumptions!$B$24</s:f>
        <s:v>299</s:v>
      </s:c>
      <s:c r="D28" s="21">
        <s:f>Assumptions!$B$24</s:f>
        <s:v>299</s:v>
      </s:c>
      <s:c r="E28" s="21">
        <s:f>Assumptions!$B$24</s:f>
        <s:v>299</s:v>
      </s:c>
      <s:c r="F28" s="21">
        <s:f>Assumptions!$B$24</s:f>
        <s:v>299</s:v>
      </s:c>
      <s:c r="G28" s="21">
        <s:f>Assumptions!$B$24</s:f>
        <s:v>299</s:v>
      </s:c>
      <s:c r="H28" s="21">
        <s:f>Assumptions!$B$24</s:f>
        <s:v>299</s:v>
      </s:c>
      <s:c r="I28" s="21">
        <s:f>Assumptions!$B$24</s:f>
        <s:v>299</s:v>
      </s:c>
      <s:c r="J28" s="21">
        <s:f>Assumptions!$B$24</s:f>
        <s:v>299</s:v>
      </s:c>
      <s:c r="K28" s="21">
        <s:f>Assumptions!$B$24</s:f>
        <s:v>299</s:v>
      </s:c>
      <s:c r="L28" s="21">
        <s:f>Assumptions!$B$24</s:f>
        <s:v>299</s:v>
      </s:c>
      <s:c r="M28" s="21">
        <s:f>Assumptions!$B$24</s:f>
        <s:v>299</s:v>
      </s:c>
      <s:c r="N28" s="21">
        <s:f>Assumptions!$B$24</s:f>
        <s:v>299</s:v>
      </s:c>
      <s:c r="O28" s="21">
        <s:f>Assumptions!$B$24</s:f>
        <s:v>299</s:v>
      </s:c>
      <s:c r="P28" s="21">
        <s:f>Assumptions!$B$24</s:f>
        <s:v>299</s:v>
      </s:c>
      <s:c r="Q28" s="21">
        <s:f>Assumptions!$B$24</s:f>
        <s:v>299</s:v>
      </s:c>
      <s:c r="R28" s="21">
        <s:f>Assumptions!$B$24</s:f>
        <s:v>299</s:v>
      </s:c>
      <s:c r="S28" s="21">
        <s:f>Assumptions!$B$24</s:f>
        <s:v>299</s:v>
      </s:c>
      <s:c r="T28" s="21">
        <s:f>Assumptions!$B$24</s:f>
        <s:v>299</s:v>
      </s:c>
    </s:row>
    <s:row r="29">
      <s:c r="A29" s="5" t="inlineStr">
        <s:is>
          <s:t>SOC 2 Platform (monthly)</s:t>
        </s:is>
      </s:c>
      <s:c r="B29" s="21">
        <s:f>Assumptions!$B$25</s:f>
        <s:v>1667</s:v>
      </s:c>
      <s:c r="C29" s="21">
        <s:f>Assumptions!$B$25</s:f>
        <s:v>1667</s:v>
      </s:c>
      <s:c r="D29" s="21">
        <s:f>Assumptions!$B$25</s:f>
        <s:v>1667</s:v>
      </s:c>
      <s:c r="E29" s="21">
        <s:f>Assumptions!$B$25</s:f>
        <s:v>1667</s:v>
      </s:c>
      <s:c r="F29" s="21">
        <s:f>Assumptions!$B$25</s:f>
        <s:v>1667</s:v>
      </s:c>
      <s:c r="G29" s="21">
        <s:f>Assumptions!$B$25</s:f>
        <s:v>1667</s:v>
      </s:c>
      <s:c r="H29" s="21">
        <s:f>Assumptions!$B$25</s:f>
        <s:v>1667</s:v>
      </s:c>
      <s:c r="I29" s="21">
        <s:f>Assumptions!$B$25</s:f>
        <s:v>1667</s:v>
      </s:c>
      <s:c r="J29" s="21">
        <s:f>Assumptions!$B$25</s:f>
        <s:v>1667</s:v>
      </s:c>
      <s:c r="K29" s="21">
        <s:f>Assumptions!$B$25</s:f>
        <s:v>1667</s:v>
      </s:c>
      <s:c r="L29" s="21">
        <s:f>Assumptions!$B$25</s:f>
        <s:v>1667</s:v>
      </s:c>
      <s:c r="M29" s="21">
        <s:f>Assumptions!$B$25</s:f>
        <s:v>1667</s:v>
      </s:c>
      <s:c r="N29" s="21">
        <s:f>Assumptions!$B$25</s:f>
        <s:v>1667</s:v>
      </s:c>
      <s:c r="O29" s="21">
        <s:f>Assumptions!$B$25</s:f>
        <s:v>1667</s:v>
      </s:c>
      <s:c r="P29" s="21">
        <s:f>Assumptions!$B$25</s:f>
        <s:v>1667</s:v>
      </s:c>
      <s:c r="Q29" s="21">
        <s:f>Assumptions!$B$25</s:f>
        <s:v>1667</s:v>
      </s:c>
      <s:c r="R29" s="21">
        <s:f>Assumptions!$B$25</s:f>
        <s:v>1667</s:v>
      </s:c>
      <s:c r="S29" s="21">
        <s:f>Assumptions!$B$25</s:f>
        <s:v>1667</s:v>
      </s:c>
      <s:c r="T29" s="21">
        <s:f>Assumptions!$B$25</s:f>
        <s:v>1667</s:v>
      </s:c>
    </s:row>
    <s:row r="30">
      <s:c r="A30" s="25" t="inlineStr">
        <s:is>
          <s:t>TOTAL FIXED OPEX (cash)</s:t>
        </s:is>
      </s:c>
      <s:c r="B30" s="22">
        <s:f>B27+B28+B29</s:f>
        <s:v>1966</s:v>
      </s:c>
      <s:c r="C30" s="22">
        <s:f>C27+C28+C29</s:f>
        <s:v>1966</s:v>
      </s:c>
      <s:c r="D30" s="22">
        <s:f>D27+D28+D29</s:f>
        <s:v>1966</s:v>
      </s:c>
      <s:c r="E30" s="22">
        <s:f>E27+E28+E29</s:f>
        <s:v>6966</s:v>
      </s:c>
      <s:c r="F30" s="22">
        <s:f>F27+F28+F29</s:f>
        <s:v>6966</s:v>
      </s:c>
      <s:c r="G30" s="22">
        <s:f>G27+G28+G29</s:f>
        <s:v>6966</s:v>
      </s:c>
      <s:c r="H30" s="22">
        <s:f>H27+H28+H29</s:f>
        <s:v>6966</s:v>
      </s:c>
      <s:c r="I30" s="22">
        <s:f>I27+I28+I29</s:f>
        <s:v>6966</s:v>
      </s:c>
      <s:c r="J30" s="22">
        <s:f>J27+J28+J29</s:f>
        <s:v>6966</s:v>
      </s:c>
      <s:c r="K30" s="22">
        <s:f>K27+K28+K29</s:f>
        <s:v>6966</s:v>
      </s:c>
      <s:c r="L30" s="22">
        <s:f>L27+L28+L29</s:f>
        <s:v>6966</s:v>
      </s:c>
      <s:c r="M30" s="22">
        <s:f>M27+M28+M29</s:f>
        <s:v>6966</s:v>
      </s:c>
      <s:c r="N30" s="22">
        <s:f>N27+N28+N29</s:f>
        <s:v>6966</s:v>
      </s:c>
      <s:c r="O30" s="22">
        <s:f>O27+O28+O29</s:f>
        <s:v>6966</s:v>
      </s:c>
      <s:c r="P30" s="22">
        <s:f>P27+P28+P29</s:f>
        <s:v>6966</s:v>
      </s:c>
      <s:c r="Q30" s="22">
        <s:f>Q27+Q28+Q29</s:f>
        <s:v>6966</s:v>
      </s:c>
      <s:c r="R30" s="22">
        <s:f>R27+R28+R29</s:f>
        <s:v>6966</s:v>
      </s:c>
      <s:c r="S30" s="22">
        <s:f>S27+S28+S29</s:f>
        <s:v>6966</s:v>
      </s:c>
      <s:c r="T30" s="22">
        <s:f>T27+T28+T29</s:f>
        <s:v>6966</s:v>
      </s:c>
    </s:row>
    <s:row r="32">
      <s:c r="A32" s="3" t="inlineStr">
        <s:is>
          <s:t>SCALE-DRIVEN / VARIABLE OPEX</s:t>
        </s:is>
      </s:c>
      <s:c r="B32" s="4" t="inlineStr"/>
      <s:c r="C32" s="4" t="inlineStr"/>
      <s:c r="D32" s="4" t="inlineStr"/>
      <s:c r="E32" s="4" t="inlineStr"/>
      <s:c r="F32" s="4" t="inlineStr"/>
      <s:c r="G32" s="4" t="inlineStr"/>
      <s:c r="H32" s="4" t="inlineStr"/>
      <s:c r="I32" s="4" t="inlineStr"/>
      <s:c r="J32" s="4" t="inlineStr"/>
      <s:c r="K32" s="4" t="inlineStr"/>
      <s:c r="L32" s="4" t="inlineStr"/>
      <s:c r="M32" s="4" t="inlineStr"/>
      <s:c r="N32" s="4" t="inlineStr"/>
      <s:c r="O32" s="4" t="inlineStr"/>
      <s:c r="P32" s="4" t="inlineStr"/>
      <s:c r="Q32" s="4" t="inlineStr"/>
      <s:c r="R32" s="4" t="inlineStr"/>
      <s:c r="S32" s="4" t="inlineStr"/>
      <s:c r="T32" s="4" t="inlineStr"/>
    </s:row>
    <s:row r="33">
      <s:c r="A33" s="5" t="inlineStr">
        <s:is>
          <s:t>Hosting / Infrastructure (tiered)</s:t>
        </s:is>
      </s:c>
      <s:c r="B33" s="21">
        <s:f>IF(B13&lt;=50,Assumptions!$B$29,IF(B13&lt;=150,Assumptions!$B$30,IF(B13&lt;=500,Assumptions!$B$31,Assumptions!$B$32)))</s:f>
        <s:v>500</s:v>
      </s:c>
      <s:c r="C33" s="21">
        <s:f>IF(C13&lt;=50,Assumptions!$B$29,IF(C13&lt;=150,Assumptions!$B$30,IF(C13&lt;=500,Assumptions!$B$31,Assumptions!$B$32)))</s:f>
        <s:v>500</s:v>
      </s:c>
      <s:c r="D33" s="21">
        <s:f>IF(D13&lt;=50,Assumptions!$B$29,IF(D13&lt;=150,Assumptions!$B$30,IF(D13&lt;=500,Assumptions!$B$31,Assumptions!$B$32)))</s:f>
        <s:v>500</s:v>
      </s:c>
      <s:c r="E33" s="21">
        <s:f>IF(E13&lt;=50,Assumptions!$B$29,IF(E13&lt;=150,Assumptions!$B$30,IF(E13&lt;=500,Assumptions!$B$31,Assumptions!$B$32)))</s:f>
        <s:v>500</s:v>
      </s:c>
      <s:c r="F33" s="21">
        <s:f>IF(F13&lt;=50,Assumptions!$B$29,IF(F13&lt;=150,Assumptions!$B$30,IF(F13&lt;=500,Assumptions!$B$31,Assumptions!$B$32)))</s:f>
        <s:v>500</s:v>
      </s:c>
      <s:c r="G33" s="21">
        <s:f>IF(G13&lt;=50,Assumptions!$B$29,IF(G13&lt;=150,Assumptions!$B$30,IF(G13&lt;=500,Assumptions!$B$31,Assumptions!$B$32)))</s:f>
        <s:v>1500</s:v>
      </s:c>
      <s:c r="H33" s="21">
        <s:f>IF(H13&lt;=50,Assumptions!$B$29,IF(H13&lt;=150,Assumptions!$B$30,IF(H13&lt;=500,Assumptions!$B$31,Assumptions!$B$32)))</s:f>
        <s:v>1500</s:v>
      </s:c>
      <s:c r="I33" s="21">
        <s:f>IF(I13&lt;=50,Assumptions!$B$29,IF(I13&lt;=150,Assumptions!$B$30,IF(I13&lt;=500,Assumptions!$B$31,Assumptions!$B$32)))</s:f>
        <s:v>1500</s:v>
      </s:c>
      <s:c r="J33" s="21">
        <s:f>IF(J13&lt;=50,Assumptions!$B$29,IF(J13&lt;=150,Assumptions!$B$30,IF(J13&lt;=500,Assumptions!$B$31,Assumptions!$B$32)))</s:f>
        <s:v>3000</s:v>
      </s:c>
      <s:c r="K33" s="21">
        <s:f>IF(K13&lt;=50,Assumptions!$B$29,IF(K13&lt;=150,Assumptions!$B$30,IF(K13&lt;=500,Assumptions!$B$31,Assumptions!$B$32)))</s:f>
        <s:v>3000</s:v>
      </s:c>
      <s:c r="L33" s="21">
        <s:f>IF(L13&lt;=50,Assumptions!$B$29,IF(L13&lt;=150,Assumptions!$B$30,IF(L13&lt;=500,Assumptions!$B$31,Assumptions!$B$32)))</s:f>
        <s:v>3000</s:v>
      </s:c>
      <s:c r="M33" s="21">
        <s:f>IF(M13&lt;=50,Assumptions!$B$29,IF(M13&lt;=150,Assumptions!$B$30,IF(M13&lt;=500,Assumptions!$B$31,Assumptions!$B$32)))</s:f>
        <s:v>3000</s:v>
      </s:c>
      <s:c r="N33" s="21">
        <s:f>IF(N13&lt;=50,Assumptions!$B$29,IF(N13&lt;=150,Assumptions!$B$30,IF(N13&lt;=500,Assumptions!$B$31,Assumptions!$B$32)))</s:f>
        <s:v>3000</s:v>
      </s:c>
      <s:c r="O33" s="21">
        <s:f>IF(O13&lt;=50,Assumptions!$B$29,IF(O13&lt;=150,Assumptions!$B$30,IF(O13&lt;=500,Assumptions!$B$31,Assumptions!$B$32)))</s:f>
        <s:v>3000</s:v>
      </s:c>
      <s:c r="P33" s="21">
        <s:f>IF(P13&lt;=50,Assumptions!$B$29,IF(P13&lt;=150,Assumptions!$B$30,IF(P13&lt;=500,Assumptions!$B$31,Assumptions!$B$32)))</s:f>
        <s:v>8000</s:v>
      </s:c>
      <s:c r="Q33" s="21">
        <s:f>IF(Q13&lt;=50,Assumptions!$B$29,IF(Q13&lt;=150,Assumptions!$B$30,IF(Q13&lt;=500,Assumptions!$B$31,Assumptions!$B$32)))</s:f>
        <s:v>8000</s:v>
      </s:c>
      <s:c r="R33" s="21">
        <s:f>IF(R13&lt;=50,Assumptions!$B$29,IF(R13&lt;=150,Assumptions!$B$30,IF(R13&lt;=500,Assumptions!$B$31,Assumptions!$B$32)))</s:f>
        <s:v>8000</s:v>
      </s:c>
      <s:c r="S33" s="21">
        <s:f>IF(S13&lt;=50,Assumptions!$B$29,IF(S13&lt;=150,Assumptions!$B$30,IF(S13&lt;=500,Assumptions!$B$31,Assumptions!$B$32)))</s:f>
        <s:v>8000</s:v>
      </s:c>
      <s:c r="T33" s="21">
        <s:f>IF(T13&lt;=50,Assumptions!$B$29,IF(T13&lt;=150,Assumptions!$B$30,IF(T13&lt;=500,Assumptions!$B$31,Assumptions!$B$32)))</s:f>
        <s:v>8000</s:v>
      </s:c>
    </s:row>
    <s:row r="34">
      <s:c r="A34" s="5" t="inlineStr">
        <s:is>
          <s:t>Contractor / Intern Pool (tiered)</s:t>
        </s:is>
      </s:c>
      <s:c r="B34" s="21">
        <s:f>IF(B13&lt;=25,Assumptions!$B$34,IF(B13&lt;=100,Assumptions!$B$35,IF(B13&lt;=300,Assumptions!$B$36,Assumptions!$B$37)))</s:f>
        <s:v>0</s:v>
      </s:c>
      <s:c r="C34" s="21">
        <s:f>IF(C13&lt;=25,Assumptions!$B$34,IF(C13&lt;=100,Assumptions!$B$35,IF(C13&lt;=300,Assumptions!$B$36,Assumptions!$B$37)))</s:f>
        <s:v>0</s:v>
      </s:c>
      <s:c r="D34" s="21">
        <s:f>IF(D13&lt;=25,Assumptions!$B$34,IF(D13&lt;=100,Assumptions!$B$35,IF(D13&lt;=300,Assumptions!$B$36,Assumptions!$B$37)))</s:f>
        <s:v>0</s:v>
      </s:c>
      <s:c r="E34" s="21">
        <s:f>IF(E13&lt;=25,Assumptions!$B$34,IF(E13&lt;=100,Assumptions!$B$35,IF(E13&lt;=300,Assumptions!$B$36,Assumptions!$B$37)))</s:f>
        <s:v>1500</s:v>
      </s:c>
      <s:c r="F34" s="21">
        <s:f>IF(F13&lt;=25,Assumptions!$B$34,IF(F13&lt;=100,Assumptions!$B$35,IF(F13&lt;=300,Assumptions!$B$36,Assumptions!$B$37)))</s:f>
        <s:v>1500</s:v>
      </s:c>
      <s:c r="G34" s="21">
        <s:f>IF(G13&lt;=25,Assumptions!$B$34,IF(G13&lt;=100,Assumptions!$B$35,IF(G13&lt;=300,Assumptions!$B$36,Assumptions!$B$37)))</s:f>
        <s:v>1500</s:v>
      </s:c>
      <s:c r="H34" s="21">
        <s:f>IF(H13&lt;=25,Assumptions!$B$34,IF(H13&lt;=100,Assumptions!$B$35,IF(H13&lt;=300,Assumptions!$B$36,Assumptions!$B$37)))</s:f>
        <s:v>1500</s:v>
      </s:c>
      <s:c r="I34" s="21">
        <s:f>IF(I13&lt;=25,Assumptions!$B$34,IF(I13&lt;=100,Assumptions!$B$35,IF(I13&lt;=300,Assumptions!$B$36,Assumptions!$B$37)))</s:f>
        <s:v>3500</s:v>
      </s:c>
      <s:c r="J34" s="21">
        <s:f>IF(J13&lt;=25,Assumptions!$B$34,IF(J13&lt;=100,Assumptions!$B$35,IF(J13&lt;=300,Assumptions!$B$36,Assumptions!$B$37)))</s:f>
        <s:v>3500</s:v>
      </s:c>
      <s:c r="K34" s="21">
        <s:f>IF(K13&lt;=25,Assumptions!$B$34,IF(K13&lt;=100,Assumptions!$B$35,IF(K13&lt;=300,Assumptions!$B$36,Assumptions!$B$37)))</s:f>
        <s:v>3500</s:v>
      </s:c>
      <s:c r="L34" s="21">
        <s:f>IF(L13&lt;=25,Assumptions!$B$34,IF(L13&lt;=100,Assumptions!$B$35,IF(L13&lt;=300,Assumptions!$B$36,Assumptions!$B$37)))</s:f>
        <s:v>3500</s:v>
      </s:c>
      <s:c r="M34" s="21">
        <s:f>IF(M13&lt;=25,Assumptions!$B$34,IF(M13&lt;=100,Assumptions!$B$35,IF(M13&lt;=300,Assumptions!$B$36,Assumptions!$B$37)))</s:f>
        <s:v>6000</s:v>
      </s:c>
      <s:c r="N34" s="21">
        <s:f>IF(N13&lt;=25,Assumptions!$B$34,IF(N13&lt;=100,Assumptions!$B$35,IF(N13&lt;=300,Assumptions!$B$36,Assumptions!$B$37)))</s:f>
        <s:v>6000</s:v>
      </s:c>
      <s:c r="O34" s="21">
        <s:f>IF(O13&lt;=25,Assumptions!$B$34,IF(O13&lt;=100,Assumptions!$B$35,IF(O13&lt;=300,Assumptions!$B$36,Assumptions!$B$37)))</s:f>
        <s:v>6000</s:v>
      </s:c>
      <s:c r="P34" s="21">
        <s:f>IF(P13&lt;=25,Assumptions!$B$34,IF(P13&lt;=100,Assumptions!$B$35,IF(P13&lt;=300,Assumptions!$B$36,Assumptions!$B$37)))</s:f>
        <s:v>6000</s:v>
      </s:c>
      <s:c r="Q34" s="21">
        <s:f>IF(Q13&lt;=25,Assumptions!$B$34,IF(Q13&lt;=100,Assumptions!$B$35,IF(Q13&lt;=300,Assumptions!$B$36,Assumptions!$B$37)))</s:f>
        <s:v>6000</s:v>
      </s:c>
      <s:c r="R34" s="21">
        <s:f>IF(R13&lt;=25,Assumptions!$B$34,IF(R13&lt;=100,Assumptions!$B$35,IF(R13&lt;=300,Assumptions!$B$36,Assumptions!$B$37)))</s:f>
        <s:v>6000</s:v>
      </s:c>
      <s:c r="S34" s="21">
        <s:f>IF(S13&lt;=25,Assumptions!$B$34,IF(S13&lt;=100,Assumptions!$B$35,IF(S13&lt;=300,Assumptions!$B$36,Assumptions!$B$37)))</s:f>
        <s:v>6000</s:v>
      </s:c>
      <s:c r="T34" s="21">
        <s:f>IF(T13&lt;=25,Assumptions!$B$34,IF(T13&lt;=100,Assumptions!$B$35,IF(T13&lt;=300,Assumptions!$B$36,Assumptions!$B$37)))</s:f>
        <s:v>6000</s:v>
      </s:c>
    </s:row>
    <s:row r="35">
      <s:c r="A35" s="5" t="inlineStr">
        <s:is>
          <s:t>Customer Success &amp; Support (tiered)</s:t>
        </s:is>
      </s:c>
      <s:c r="B35" s="21">
        <s:f>IF(0&lt;6,Assumptions!$B$39,IF(0&lt;12,Assumptions!$B$40,Assumptions!$B$41))</s:f>
        <s:v>0</s:v>
      </s:c>
      <s:c r="C35" s="21">
        <s:f>IF(1&lt;6,Assumptions!$B$39,IF(1&lt;12,Assumptions!$B$40,Assumptions!$B$41))</s:f>
        <s:v>0</s:v>
      </s:c>
      <s:c r="D35" s="21">
        <s:f>IF(2&lt;6,Assumptions!$B$39,IF(2&lt;12,Assumptions!$B$40,Assumptions!$B$41))</s:f>
        <s:v>0</s:v>
      </s:c>
      <s:c r="E35" s="21">
        <s:f>IF(3&lt;6,Assumptions!$B$39,IF(3&lt;12,Assumptions!$B$40,Assumptions!$B$41))</s:f>
        <s:v>0</s:v>
      </s:c>
      <s:c r="F35" s="21">
        <s:f>IF(4&lt;6,Assumptions!$B$39,IF(4&lt;12,Assumptions!$B$40,Assumptions!$B$41))</s:f>
        <s:v>0</s:v>
      </s:c>
      <s:c r="G35" s="21">
        <s:f>IF(5&lt;6,Assumptions!$B$39,IF(5&lt;12,Assumptions!$B$40,Assumptions!$B$41))</s:f>
        <s:v>0</s:v>
      </s:c>
      <s:c r="H35" s="21">
        <s:f>IF(6&lt;6,Assumptions!$B$39,IF(6&lt;12,Assumptions!$B$40,Assumptions!$B$41))</s:f>
        <s:v>1500</s:v>
      </s:c>
      <s:c r="I35" s="21">
        <s:f>IF(7&lt;6,Assumptions!$B$39,IF(7&lt;12,Assumptions!$B$40,Assumptions!$B$41))</s:f>
        <s:v>1500</s:v>
      </s:c>
      <s:c r="J35" s="21">
        <s:f>IF(8&lt;6,Assumptions!$B$39,IF(8&lt;12,Assumptions!$B$40,Assumptions!$B$41))</s:f>
        <s:v>1500</s:v>
      </s:c>
      <s:c r="K35" s="21">
        <s:f>IF(9&lt;6,Assumptions!$B$39,IF(9&lt;12,Assumptions!$B$40,Assumptions!$B$41))</s:f>
        <s:v>1500</s:v>
      </s:c>
      <s:c r="L35" s="21">
        <s:f>IF(10&lt;6,Assumptions!$B$39,IF(10&lt;12,Assumptions!$B$40,Assumptions!$B$41))</s:f>
        <s:v>1500</s:v>
      </s:c>
      <s:c r="M35" s="21">
        <s:f>IF(11&lt;6,Assumptions!$B$39,IF(11&lt;12,Assumptions!$B$40,Assumptions!$B$41))</s:f>
        <s:v>1500</s:v>
      </s:c>
      <s:c r="N35" s="21">
        <s:f>IF(12&lt;6,Assumptions!$B$39,IF(12&lt;12,Assumptions!$B$40,Assumptions!$B$41))</s:f>
        <s:v>3500</s:v>
      </s:c>
      <s:c r="O35" s="21">
        <s:f>IF(13&lt;6,Assumptions!$B$39,IF(13&lt;12,Assumptions!$B$40,Assumptions!$B$41))</s:f>
        <s:v>3500</s:v>
      </s:c>
      <s:c r="P35" s="21">
        <s:f>IF(14&lt;6,Assumptions!$B$39,IF(14&lt;12,Assumptions!$B$40,Assumptions!$B$41))</s:f>
        <s:v>3500</s:v>
      </s:c>
      <s:c r="Q35" s="21">
        <s:f>IF(15&lt;6,Assumptions!$B$39,IF(15&lt;12,Assumptions!$B$40,Assumptions!$B$41))</s:f>
        <s:v>3500</s:v>
      </s:c>
      <s:c r="R35" s="21">
        <s:f>IF(16&lt;6,Assumptions!$B$39,IF(16&lt;12,Assumptions!$B$40,Assumptions!$B$41))</s:f>
        <s:v>3500</s:v>
      </s:c>
      <s:c r="S35" s="21">
        <s:f>IF(17&lt;6,Assumptions!$B$39,IF(17&lt;12,Assumptions!$B$40,Assumptions!$B$41))</s:f>
        <s:v>3500</s:v>
      </s:c>
      <s:c r="T35" s="21">
        <s:f>IF(18&lt;6,Assumptions!$B$39,IF(18&lt;12,Assumptions!$B$40,Assumptions!$B$41))</s:f>
        <s:v>3500</s:v>
      </s:c>
    </s:row>
    <s:row r="36">
      <s:c r="A36" s="5" t="inlineStr">
        <s:is>
          <s:t>Tools / SaaS Stack (tiered)</s:t>
        </s:is>
      </s:c>
      <s:c r="B36" s="21">
        <s:f>IF(0&lt;6,Assumptions!$B$43,Assumptions!$B$44)</s:f>
        <s:v>500</s:v>
      </s:c>
      <s:c r="C36" s="21">
        <s:f>IF(1&lt;6,Assumptions!$B$43,Assumptions!$B$44)</s:f>
        <s:v>500</s:v>
      </s:c>
      <s:c r="D36" s="21">
        <s:f>IF(2&lt;6,Assumptions!$B$43,Assumptions!$B$44)</s:f>
        <s:v>500</s:v>
      </s:c>
      <s:c r="E36" s="21">
        <s:f>IF(3&lt;6,Assumptions!$B$43,Assumptions!$B$44)</s:f>
        <s:v>500</s:v>
      </s:c>
      <s:c r="F36" s="21">
        <s:f>IF(4&lt;6,Assumptions!$B$43,Assumptions!$B$44)</s:f>
        <s:v>500</s:v>
      </s:c>
      <s:c r="G36" s="21">
        <s:f>IF(5&lt;6,Assumptions!$B$43,Assumptions!$B$44)</s:f>
        <s:v>500</s:v>
      </s:c>
      <s:c r="H36" s="21">
        <s:f>IF(6&lt;6,Assumptions!$B$43,Assumptions!$B$44)</s:f>
        <s:v>1000</s:v>
      </s:c>
      <s:c r="I36" s="21">
        <s:f>IF(7&lt;6,Assumptions!$B$43,Assumptions!$B$44)</s:f>
        <s:v>1000</s:v>
      </s:c>
      <s:c r="J36" s="21">
        <s:f>IF(8&lt;6,Assumptions!$B$43,Assumptions!$B$44)</s:f>
        <s:v>1000</s:v>
      </s:c>
      <s:c r="K36" s="21">
        <s:f>IF(9&lt;6,Assumptions!$B$43,Assumptions!$B$44)</s:f>
        <s:v>1000</s:v>
      </s:c>
      <s:c r="L36" s="21">
        <s:f>IF(10&lt;6,Assumptions!$B$43,Assumptions!$B$44)</s:f>
        <s:v>1000</s:v>
      </s:c>
      <s:c r="M36" s="21">
        <s:f>IF(11&lt;6,Assumptions!$B$43,Assumptions!$B$44)</s:f>
        <s:v>1000</s:v>
      </s:c>
      <s:c r="N36" s="21">
        <s:f>IF(12&lt;6,Assumptions!$B$43,Assumptions!$B$44)</s:f>
        <s:v>1000</s:v>
      </s:c>
      <s:c r="O36" s="21">
        <s:f>IF(13&lt;6,Assumptions!$B$43,Assumptions!$B$44)</s:f>
        <s:v>1000</s:v>
      </s:c>
      <s:c r="P36" s="21">
        <s:f>IF(14&lt;6,Assumptions!$B$43,Assumptions!$B$44)</s:f>
        <s:v>1000</s:v>
      </s:c>
      <s:c r="Q36" s="21">
        <s:f>IF(15&lt;6,Assumptions!$B$43,Assumptions!$B$44)</s:f>
        <s:v>1000</s:v>
      </s:c>
      <s:c r="R36" s="21">
        <s:f>IF(16&lt;6,Assumptions!$B$43,Assumptions!$B$44)</s:f>
        <s:v>1000</s:v>
      </s:c>
      <s:c r="S36" s="21">
        <s:f>IF(17&lt;6,Assumptions!$B$43,Assumptions!$B$44)</s:f>
        <s:v>1000</s:v>
      </s:c>
      <s:c r="T36" s="21">
        <s:f>IF(18&lt;6,Assumptions!$B$43,Assumptions!$B$44)</s:f>
        <s:v>1000</s:v>
      </s:c>
    </s:row>
    <s:row r="37">
      <s:c r="A37" s="5" t="inlineStr">
        <s:is>
          <s:t>Marketing Spend (ramp)</s:t>
        </s:is>
      </s:c>
      <s:c r="B37" s="21">
        <s:f>IF(0&lt;=1,Assumptions!$B$46,IF(0=2,Assumptions!$B$47,IF(0=3,Assumptions!$B$48,Assumptions!$B$49)))</s:f>
        <s:v>750</s:v>
      </s:c>
      <s:c r="C37" s="21">
        <s:f>IF(1&lt;=1,Assumptions!$B$46,IF(1=2,Assumptions!$B$47,IF(1=3,Assumptions!$B$48,Assumptions!$B$49)))</s:f>
        <s:v>750</s:v>
      </s:c>
      <s:c r="D37" s="21">
        <s:f>IF(2&lt;=1,Assumptions!$B$46,IF(2=2,Assumptions!$B$47,IF(2=3,Assumptions!$B$48,Assumptions!$B$49)))</s:f>
        <s:v>1500</s:v>
      </s:c>
      <s:c r="E37" s="21">
        <s:f>IF(3&lt;=1,Assumptions!$B$46,IF(3=2,Assumptions!$B$47,IF(3=3,Assumptions!$B$48,Assumptions!$B$49)))</s:f>
        <s:v>2250</s:v>
      </s:c>
      <s:c r="F37" s="21">
        <s:f>IF(4&lt;=1,Assumptions!$B$46,IF(4=2,Assumptions!$B$47,IF(4=3,Assumptions!$B$48,Assumptions!$B$49)))</s:f>
        <s:v>3000</s:v>
      </s:c>
      <s:c r="G37" s="21">
        <s:f>IF(5&lt;=1,Assumptions!$B$46,IF(5=2,Assumptions!$B$47,IF(5=3,Assumptions!$B$48,Assumptions!$B$49)))</s:f>
        <s:v>3000</s:v>
      </s:c>
      <s:c r="H37" s="21">
        <s:f>IF(6&lt;=1,Assumptions!$B$46,IF(6=2,Assumptions!$B$47,IF(6=3,Assumptions!$B$48,Assumptions!$B$49)))</s:f>
        <s:v>3000</s:v>
      </s:c>
      <s:c r="I37" s="21">
        <s:f>IF(7&lt;=1,Assumptions!$B$46,IF(7=2,Assumptions!$B$47,IF(7=3,Assumptions!$B$48,Assumptions!$B$49)))</s:f>
        <s:v>3000</s:v>
      </s:c>
      <s:c r="J37" s="21">
        <s:f>IF(8&lt;=1,Assumptions!$B$46,IF(8=2,Assumptions!$B$47,IF(8=3,Assumptions!$B$48,Assumptions!$B$49)))</s:f>
        <s:v>3000</s:v>
      </s:c>
      <s:c r="K37" s="21">
        <s:f>IF(9&lt;=1,Assumptions!$B$46,IF(9=2,Assumptions!$B$47,IF(9=3,Assumptions!$B$48,Assumptions!$B$49)))</s:f>
        <s:v>3000</s:v>
      </s:c>
      <s:c r="L37" s="21">
        <s:f>IF(10&lt;=1,Assumptions!$B$46,IF(10=2,Assumptions!$B$47,IF(10=3,Assumptions!$B$48,Assumptions!$B$49)))</s:f>
        <s:v>3000</s:v>
      </s:c>
      <s:c r="M37" s="21">
        <s:f>IF(11&lt;=1,Assumptions!$B$46,IF(11=2,Assumptions!$B$47,IF(11=3,Assumptions!$B$48,Assumptions!$B$49)))</s:f>
        <s:v>3000</s:v>
      </s:c>
      <s:c r="N37" s="21">
        <s:f>IF(12&lt;=1,Assumptions!$B$46,IF(12=2,Assumptions!$B$47,IF(12=3,Assumptions!$B$48,Assumptions!$B$49)))</s:f>
        <s:v>3000</s:v>
      </s:c>
      <s:c r="O37" s="21">
        <s:f>IF(13&lt;=1,Assumptions!$B$46,IF(13=2,Assumptions!$B$47,IF(13=3,Assumptions!$B$48,Assumptions!$B$49)))</s:f>
        <s:v>3000</s:v>
      </s:c>
      <s:c r="P37" s="21">
        <s:f>IF(14&lt;=1,Assumptions!$B$46,IF(14=2,Assumptions!$B$47,IF(14=3,Assumptions!$B$48,Assumptions!$B$49)))</s:f>
        <s:v>3000</s:v>
      </s:c>
      <s:c r="Q37" s="21">
        <s:f>IF(15&lt;=1,Assumptions!$B$46,IF(15=2,Assumptions!$B$47,IF(15=3,Assumptions!$B$48,Assumptions!$B$49)))</s:f>
        <s:v>3000</s:v>
      </s:c>
      <s:c r="R37" s="21">
        <s:f>IF(16&lt;=1,Assumptions!$B$46,IF(16=2,Assumptions!$B$47,IF(16=3,Assumptions!$B$48,Assumptions!$B$49)))</s:f>
        <s:v>3000</s:v>
      </s:c>
      <s:c r="S37" s="21">
        <s:f>IF(17&lt;=1,Assumptions!$B$46,IF(17=2,Assumptions!$B$47,IF(17=3,Assumptions!$B$48,Assumptions!$B$49)))</s:f>
        <s:v>3000</s:v>
      </s:c>
      <s:c r="T37" s="21">
        <s:f>IF(18&lt;=1,Assumptions!$B$46,IF(18=2,Assumptions!$B$47,IF(18=3,Assumptions!$B$48,Assumptions!$B$49)))</s:f>
        <s:v>3000</s:v>
      </s:c>
    </s:row>
    <s:row r="38">
      <s:c r="A38" s="25" t="inlineStr">
        <s:is>
          <s:t>TOTAL VARIABLE OPEX</s:t>
        </s:is>
      </s:c>
      <s:c r="B38" s="22">
        <s:f>SUM(B33:B37)</s:f>
        <s:v>1750</s:v>
      </s:c>
      <s:c r="C38" s="22">
        <s:f>SUM(C33:C37)</s:f>
        <s:v>1750</s:v>
      </s:c>
      <s:c r="D38" s="22">
        <s:f>SUM(D33:D37)</s:f>
        <s:v>2500</s:v>
      </s:c>
      <s:c r="E38" s="22">
        <s:f>SUM(E33:E37)</s:f>
        <s:v>4750</s:v>
      </s:c>
      <s:c r="F38" s="22">
        <s:f>SUM(F33:F37)</s:f>
        <s:v>5500</s:v>
      </s:c>
      <s:c r="G38" s="22">
        <s:f>SUM(G33:G37)</s:f>
        <s:v>6500</s:v>
      </s:c>
      <s:c r="H38" s="22">
        <s:f>SUM(H33:H37)</s:f>
        <s:v>8500</s:v>
      </s:c>
      <s:c r="I38" s="22">
        <s:f>SUM(I33:I37)</s:f>
        <s:v>10500</s:v>
      </s:c>
      <s:c r="J38" s="22">
        <s:f>SUM(J33:J37)</s:f>
        <s:v>12000</s:v>
      </s:c>
      <s:c r="K38" s="22">
        <s:f>SUM(K33:K37)</s:f>
        <s:v>12000</s:v>
      </s:c>
      <s:c r="L38" s="22">
        <s:f>SUM(L33:L37)</s:f>
        <s:v>12000</s:v>
      </s:c>
      <s:c r="M38" s="22">
        <s:f>SUM(M33:M37)</s:f>
        <s:v>14500</s:v>
      </s:c>
      <s:c r="N38" s="22">
        <s:f>SUM(N33:N37)</s:f>
        <s:v>16500</s:v>
      </s:c>
      <s:c r="O38" s="22">
        <s:f>SUM(O33:O37)</s:f>
        <s:v>16500</s:v>
      </s:c>
      <s:c r="P38" s="22">
        <s:f>SUM(P33:P37)</s:f>
        <s:v>21500</s:v>
      </s:c>
      <s:c r="Q38" s="22">
        <s:f>SUM(Q33:Q37)</s:f>
        <s:v>21500</s:v>
      </s:c>
      <s:c r="R38" s="22">
        <s:f>SUM(R33:R37)</s:f>
        <s:v>21500</s:v>
      </s:c>
      <s:c r="S38" s="22">
        <s:f>SUM(S33:S37)</s:f>
        <s:v>21500</s:v>
      </s:c>
      <s:c r="T38" s="22">
        <s:f>SUM(T33:T37)</s:f>
        <s:v>21500</s:v>
      </s:c>
    </s:row>
    <s:row r="40">
      <s:c r="A40" s="3" t="inlineStr">
        <s:is>
          <s:t>ONE-TIME / NON-RECURRING (cash)</s:t>
        </s:is>
      </s:c>
      <s:c r="B40" s="4" t="inlineStr"/>
      <s:c r="C40" s="4" t="inlineStr"/>
      <s:c r="D40" s="4" t="inlineStr"/>
      <s:c r="E40" s="4" t="inlineStr"/>
      <s:c r="F40" s="4" t="inlineStr"/>
      <s:c r="G40" s="4" t="inlineStr"/>
      <s:c r="H40" s="4" t="inlineStr"/>
      <s:c r="I40" s="4" t="inlineStr"/>
      <s:c r="J40" s="4" t="inlineStr"/>
      <s:c r="K40" s="4" t="inlineStr"/>
      <s:c r="L40" s="4" t="inlineStr"/>
      <s:c r="M40" s="4" t="inlineStr"/>
      <s:c r="N40" s="4" t="inlineStr"/>
      <s:c r="O40" s="4" t="inlineStr"/>
      <s:c r="P40" s="4" t="inlineStr"/>
      <s:c r="Q40" s="4" t="inlineStr"/>
      <s:c r="R40" s="4" t="inlineStr"/>
      <s:c r="S40" s="4" t="inlineStr"/>
      <s:c r="T40" s="4" t="inlineStr"/>
    </s:row>
    <s:row r="41">
      <s:c r="A41" s="5" t="inlineStr">
        <s:is>
          <s:t>Legal — Entity Formation</s:t>
        </s:is>
      </s:c>
      <s:c r="B41" s="21">
        <s:f>IF(0=0,Assumptions!$B$16,0)</s:f>
        <s:v>1500</s:v>
      </s:c>
      <s:c r="C41" s="21">
        <s:f>IF(1=0,Assumptions!$B$16,0)</s:f>
        <s:v>0</s:v>
      </s:c>
      <s:c r="D41" s="21">
        <s:f>IF(2=0,Assumptions!$B$16,0)</s:f>
        <s:v>0</s:v>
      </s:c>
      <s:c r="E41" s="21">
        <s:f>IF(3=0,Assumptions!$B$16,0)</s:f>
        <s:v>0</s:v>
      </s:c>
      <s:c r="F41" s="21">
        <s:f>IF(4=0,Assumptions!$B$16,0)</s:f>
        <s:v>0</s:v>
      </s:c>
      <s:c r="G41" s="21">
        <s:f>IF(5=0,Assumptions!$B$16,0)</s:f>
        <s:v>0</s:v>
      </s:c>
      <s:c r="H41" s="21">
        <s:f>IF(6=0,Assumptions!$B$16,0)</s:f>
        <s:v>0</s:v>
      </s:c>
      <s:c r="I41" s="21">
        <s:f>IF(7=0,Assumptions!$B$16,0)</s:f>
        <s:v>0</s:v>
      </s:c>
      <s:c r="J41" s="21">
        <s:f>IF(8=0,Assumptions!$B$16,0)</s:f>
        <s:v>0</s:v>
      </s:c>
      <s:c r="K41" s="21">
        <s:f>IF(9=0,Assumptions!$B$16,0)</s:f>
        <s:v>0</s:v>
      </s:c>
      <s:c r="L41" s="21">
        <s:f>IF(10=0,Assumptions!$B$16,0)</s:f>
        <s:v>0</s:v>
      </s:c>
      <s:c r="M41" s="21">
        <s:f>IF(11=0,Assumptions!$B$16,0)</s:f>
        <s:v>0</s:v>
      </s:c>
      <s:c r="N41" s="21">
        <s:f>IF(12=0,Assumptions!$B$16,0)</s:f>
        <s:v>0</s:v>
      </s:c>
      <s:c r="O41" s="21">
        <s:f>IF(13=0,Assumptions!$B$16,0)</s:f>
        <s:v>0</s:v>
      </s:c>
      <s:c r="P41" s="21">
        <s:f>IF(14=0,Assumptions!$B$16,0)</s:f>
        <s:v>0</s:v>
      </s:c>
      <s:c r="Q41" s="21">
        <s:f>IF(15=0,Assumptions!$B$16,0)</s:f>
        <s:v>0</s:v>
      </s:c>
      <s:c r="R41" s="21">
        <s:f>IF(16=0,Assumptions!$B$16,0)</s:f>
        <s:v>0</s:v>
      </s:c>
      <s:c r="S41" s="21">
        <s:f>IF(17=0,Assumptions!$B$16,0)</s:f>
        <s:v>0</s:v>
      </s:c>
      <s:c r="T41" s="21">
        <s:f>IF(18=0,Assumptions!$B$16,0)</s:f>
        <s:v>0</s:v>
      </s:c>
    </s:row>
    <s:row r="42">
      <s:c r="A42" s="5" t="inlineStr">
        <s:is>
          <s:t>Legal — Operating Agreement</s:t>
        </s:is>
      </s:c>
      <s:c r="B42" s="21">
        <s:f>IF(0=0,Assumptions!$B$17,0)</s:f>
        <s:v>3000</s:v>
      </s:c>
      <s:c r="C42" s="21">
        <s:f>IF(1=0,Assumptions!$B$17,0)</s:f>
        <s:v>0</s:v>
      </s:c>
      <s:c r="D42" s="21">
        <s:f>IF(2=0,Assumptions!$B$17,0)</s:f>
        <s:v>0</s:v>
      </s:c>
      <s:c r="E42" s="21">
        <s:f>IF(3=0,Assumptions!$B$17,0)</s:f>
        <s:v>0</s:v>
      </s:c>
      <s:c r="F42" s="21">
        <s:f>IF(4=0,Assumptions!$B$17,0)</s:f>
        <s:v>0</s:v>
      </s:c>
      <s:c r="G42" s="21">
        <s:f>IF(5=0,Assumptions!$B$17,0)</s:f>
        <s:v>0</s:v>
      </s:c>
      <s:c r="H42" s="21">
        <s:f>IF(6=0,Assumptions!$B$17,0)</s:f>
        <s:v>0</s:v>
      </s:c>
      <s:c r="I42" s="21">
        <s:f>IF(7=0,Assumptions!$B$17,0)</s:f>
        <s:v>0</s:v>
      </s:c>
      <s:c r="J42" s="21">
        <s:f>IF(8=0,Assumptions!$B$17,0)</s:f>
        <s:v>0</s:v>
      </s:c>
      <s:c r="K42" s="21">
        <s:f>IF(9=0,Assumptions!$B$17,0)</s:f>
        <s:v>0</s:v>
      </s:c>
      <s:c r="L42" s="21">
        <s:f>IF(10=0,Assumptions!$B$17,0)</s:f>
        <s:v>0</s:v>
      </s:c>
      <s:c r="M42" s="21">
        <s:f>IF(11=0,Assumptions!$B$17,0)</s:f>
        <s:v>0</s:v>
      </s:c>
      <s:c r="N42" s="21">
        <s:f>IF(12=0,Assumptions!$B$17,0)</s:f>
        <s:v>0</s:v>
      </s:c>
      <s:c r="O42" s="21">
        <s:f>IF(13=0,Assumptions!$B$17,0)</s:f>
        <s:v>0</s:v>
      </s:c>
      <s:c r="P42" s="21">
        <s:f>IF(14=0,Assumptions!$B$17,0)</s:f>
        <s:v>0</s:v>
      </s:c>
      <s:c r="Q42" s="21">
        <s:f>IF(15=0,Assumptions!$B$17,0)</s:f>
        <s:v>0</s:v>
      </s:c>
      <s:c r="R42" s="21">
        <s:f>IF(16=0,Assumptions!$B$17,0)</s:f>
        <s:v>0</s:v>
      </s:c>
      <s:c r="S42" s="21">
        <s:f>IF(17=0,Assumptions!$B$17,0)</s:f>
        <s:v>0</s:v>
      </s:c>
      <s:c r="T42" s="21">
        <s:f>IF(18=0,Assumptions!$B$17,0)</s:f>
        <s:v>0</s:v>
      </s:c>
    </s:row>
    <s:row r="43">
      <s:c r="A43" s="5" t="inlineStr">
        <s:is>
          <s:t>Legal — Trademark / IP</s:t>
        </s:is>
      </s:c>
      <s:c r="B43" s="21">
        <s:f>IF(0=0,Assumptions!$B$18,0)</s:f>
        <s:v>3500</s:v>
      </s:c>
      <s:c r="C43" s="21">
        <s:f>IF(1=0,Assumptions!$B$18,0)</s:f>
        <s:v>0</s:v>
      </s:c>
      <s:c r="D43" s="21">
        <s:f>IF(2=0,Assumptions!$B$18,0)</s:f>
        <s:v>0</s:v>
      </s:c>
      <s:c r="E43" s="21">
        <s:f>IF(3=0,Assumptions!$B$18,0)</s:f>
        <s:v>0</s:v>
      </s:c>
      <s:c r="F43" s="21">
        <s:f>IF(4=0,Assumptions!$B$18,0)</s:f>
        <s:v>0</s:v>
      </s:c>
      <s:c r="G43" s="21">
        <s:f>IF(5=0,Assumptions!$B$18,0)</s:f>
        <s:v>0</s:v>
      </s:c>
      <s:c r="H43" s="21">
        <s:f>IF(6=0,Assumptions!$B$18,0)</s:f>
        <s:v>0</s:v>
      </s:c>
      <s:c r="I43" s="21">
        <s:f>IF(7=0,Assumptions!$B$18,0)</s:f>
        <s:v>0</s:v>
      </s:c>
      <s:c r="J43" s="21">
        <s:f>IF(8=0,Assumptions!$B$18,0)</s:f>
        <s:v>0</s:v>
      </s:c>
      <s:c r="K43" s="21">
        <s:f>IF(9=0,Assumptions!$B$18,0)</s:f>
        <s:v>0</s:v>
      </s:c>
      <s:c r="L43" s="21">
        <s:f>IF(10=0,Assumptions!$B$18,0)</s:f>
        <s:v>0</s:v>
      </s:c>
      <s:c r="M43" s="21">
        <s:f>IF(11=0,Assumptions!$B$18,0)</s:f>
        <s:v>0</s:v>
      </s:c>
      <s:c r="N43" s="21">
        <s:f>IF(12=0,Assumptions!$B$18,0)</s:f>
        <s:v>0</s:v>
      </s:c>
      <s:c r="O43" s="21">
        <s:f>IF(13=0,Assumptions!$B$18,0)</s:f>
        <s:v>0</s:v>
      </s:c>
      <s:c r="P43" s="21">
        <s:f>IF(14=0,Assumptions!$B$18,0)</s:f>
        <s:v>0</s:v>
      </s:c>
      <s:c r="Q43" s="21">
        <s:f>IF(15=0,Assumptions!$B$18,0)</s:f>
        <s:v>0</s:v>
      </s:c>
      <s:c r="R43" s="21">
        <s:f>IF(16=0,Assumptions!$B$18,0)</s:f>
        <s:v>0</s:v>
      </s:c>
      <s:c r="S43" s="21">
        <s:f>IF(17=0,Assumptions!$B$18,0)</s:f>
        <s:v>0</s:v>
      </s:c>
      <s:c r="T43" s="21">
        <s:f>IF(18=0,Assumptions!$B$18,0)</s:f>
        <s:v>0</s:v>
      </s:c>
    </s:row>
    <s:row r="44">
      <s:c r="A44" s="5" t="inlineStr">
        <s:is>
          <s:t>Legal — ToS / Privacy Policy</s:t>
        </s:is>
      </s:c>
      <s:c r="B44" s="21">
        <s:f>IF(0=0,Assumptions!$B$19,0)</s:f>
        <s:v>2000</s:v>
      </s:c>
      <s:c r="C44" s="21">
        <s:f>IF(1=0,Assumptions!$B$19,0)</s:f>
        <s:v>0</s:v>
      </s:c>
      <s:c r="D44" s="21">
        <s:f>IF(2=0,Assumptions!$B$19,0)</s:f>
        <s:v>0</s:v>
      </s:c>
      <s:c r="E44" s="21">
        <s:f>IF(3=0,Assumptions!$B$19,0)</s:f>
        <s:v>0</s:v>
      </s:c>
      <s:c r="F44" s="21">
        <s:f>IF(4=0,Assumptions!$B$19,0)</s:f>
        <s:v>0</s:v>
      </s:c>
      <s:c r="G44" s="21">
        <s:f>IF(5=0,Assumptions!$B$19,0)</s:f>
        <s:v>0</s:v>
      </s:c>
      <s:c r="H44" s="21">
        <s:f>IF(6=0,Assumptions!$B$19,0)</s:f>
        <s:v>0</s:v>
      </s:c>
      <s:c r="I44" s="21">
        <s:f>IF(7=0,Assumptions!$B$19,0)</s:f>
        <s:v>0</s:v>
      </s:c>
      <s:c r="J44" s="21">
        <s:f>IF(8=0,Assumptions!$B$19,0)</s:f>
        <s:v>0</s:v>
      </s:c>
      <s:c r="K44" s="21">
        <s:f>IF(9=0,Assumptions!$B$19,0)</s:f>
        <s:v>0</s:v>
      </s:c>
      <s:c r="L44" s="21">
        <s:f>IF(10=0,Assumptions!$B$19,0)</s:f>
        <s:v>0</s:v>
      </s:c>
      <s:c r="M44" s="21">
        <s:f>IF(11=0,Assumptions!$B$19,0)</s:f>
        <s:v>0</s:v>
      </s:c>
      <s:c r="N44" s="21">
        <s:f>IF(12=0,Assumptions!$B$19,0)</s:f>
        <s:v>0</s:v>
      </s:c>
      <s:c r="O44" s="21">
        <s:f>IF(13=0,Assumptions!$B$19,0)</s:f>
        <s:v>0</s:v>
      </s:c>
      <s:c r="P44" s="21">
        <s:f>IF(14=0,Assumptions!$B$19,0)</s:f>
        <s:v>0</s:v>
      </s:c>
      <s:c r="Q44" s="21">
        <s:f>IF(15=0,Assumptions!$B$19,0)</s:f>
        <s:v>0</s:v>
      </s:c>
      <s:c r="R44" s="21">
        <s:f>IF(16=0,Assumptions!$B$19,0)</s:f>
        <s:v>0</s:v>
      </s:c>
      <s:c r="S44" s="21">
        <s:f>IF(17=0,Assumptions!$B$19,0)</s:f>
        <s:v>0</s:v>
      </s:c>
      <s:c r="T44" s="21">
        <s:f>IF(18=0,Assumptions!$B$19,0)</s:f>
        <s:v>0</s:v>
      </s:c>
    </s:row>
    <s:row r="45">
      <s:c r="A45" s="5" t="inlineStr">
        <s:is>
          <s:t>SOC 2 Setup (spread)</s:t>
        </s:is>
      </s:c>
      <s:c r="B45" s="21">
        <s:f>IF(0&lt;Assumptions!$B$21,Assumptions!$B$20/Assumptions!$B$21,0)</s:f>
        <s:v>6666.666666666667</s:v>
      </s:c>
      <s:c r="C45" s="21">
        <s:f>IF(1&lt;Assumptions!$B$21,Assumptions!$B$20/Assumptions!$B$21,0)</s:f>
        <s:v>6666.666666666667</s:v>
      </s:c>
      <s:c r="D45" s="21">
        <s:f>IF(2&lt;Assumptions!$B$21,Assumptions!$B$20/Assumptions!$B$21,0)</s:f>
        <s:v>6666.666666666667</s:v>
      </s:c>
      <s:c r="E45" s="21">
        <s:f>IF(3&lt;Assumptions!$B$21,Assumptions!$B$20/Assumptions!$B$21,0)</s:f>
        <s:v>0</s:v>
      </s:c>
      <s:c r="F45" s="21">
        <s:f>IF(4&lt;Assumptions!$B$21,Assumptions!$B$20/Assumptions!$B$21,0)</s:f>
        <s:v>0</s:v>
      </s:c>
      <s:c r="G45" s="21">
        <s:f>IF(5&lt;Assumptions!$B$21,Assumptions!$B$20/Assumptions!$B$21,0)</s:f>
        <s:v>0</s:v>
      </s:c>
      <s:c r="H45" s="21">
        <s:f>IF(6&lt;Assumptions!$B$21,Assumptions!$B$20/Assumptions!$B$21,0)</s:f>
        <s:v>0</s:v>
      </s:c>
      <s:c r="I45" s="21">
        <s:f>IF(7&lt;Assumptions!$B$21,Assumptions!$B$20/Assumptions!$B$21,0)</s:f>
        <s:v>0</s:v>
      </s:c>
      <s:c r="J45" s="21">
        <s:f>IF(8&lt;Assumptions!$B$21,Assumptions!$B$20/Assumptions!$B$21,0)</s:f>
        <s:v>0</s:v>
      </s:c>
      <s:c r="K45" s="21">
        <s:f>IF(9&lt;Assumptions!$B$21,Assumptions!$B$20/Assumptions!$B$21,0)</s:f>
        <s:v>0</s:v>
      </s:c>
      <s:c r="L45" s="21">
        <s:f>IF(10&lt;Assumptions!$B$21,Assumptions!$B$20/Assumptions!$B$21,0)</s:f>
        <s:v>0</s:v>
      </s:c>
      <s:c r="M45" s="21">
        <s:f>IF(11&lt;Assumptions!$B$21,Assumptions!$B$20/Assumptions!$B$21,0)</s:f>
        <s:v>0</s:v>
      </s:c>
      <s:c r="N45" s="21">
        <s:f>IF(12&lt;Assumptions!$B$21,Assumptions!$B$20/Assumptions!$B$21,0)</s:f>
        <s:v>0</s:v>
      </s:c>
      <s:c r="O45" s="21">
        <s:f>IF(13&lt;Assumptions!$B$21,Assumptions!$B$20/Assumptions!$B$21,0)</s:f>
        <s:v>0</s:v>
      </s:c>
      <s:c r="P45" s="21">
        <s:f>IF(14&lt;Assumptions!$B$21,Assumptions!$B$20/Assumptions!$B$21,0)</s:f>
        <s:v>0</s:v>
      </s:c>
      <s:c r="Q45" s="21">
        <s:f>IF(15&lt;Assumptions!$B$21,Assumptions!$B$20/Assumptions!$B$21,0)</s:f>
        <s:v>0</s:v>
      </s:c>
      <s:c r="R45" s="21">
        <s:f>IF(16&lt;Assumptions!$B$21,Assumptions!$B$20/Assumptions!$B$21,0)</s:f>
        <s:v>0</s:v>
      </s:c>
      <s:c r="S45" s="21">
        <s:f>IF(17&lt;Assumptions!$B$21,Assumptions!$B$20/Assumptions!$B$21,0)</s:f>
        <s:v>0</s:v>
      </s:c>
      <s:c r="T45" s="21">
        <s:f>IF(18&lt;Assumptions!$B$21,Assumptions!$B$20/Assumptions!$B$21,0)</s:f>
        <s:v>0</s:v>
      </s:c>
    </s:row>
    <s:row r="46">
      <s:c r="A46" s="25" t="inlineStr">
        <s:is>
          <s:t>TOTAL ONE-TIME COSTS</s:t>
        </s:is>
      </s:c>
      <s:c r="B46" s="22">
        <s:f>SUM(B41:B45)</s:f>
        <s:v>16666.666666666668</s:v>
      </s:c>
      <s:c r="C46" s="22">
        <s:f>SUM(C41:C45)</s:f>
        <s:v>6666.666666666667</s:v>
      </s:c>
      <s:c r="D46" s="22">
        <s:f>SUM(D41:D45)</s:f>
        <s:v>6666.666666666667</s:v>
      </s:c>
      <s:c r="E46" s="22">
        <s:f>SUM(E41:E45)</s:f>
        <s:v>0</s:v>
      </s:c>
      <s:c r="F46" s="22">
        <s:f>SUM(F41:F45)</s:f>
        <s:v>0</s:v>
      </s:c>
      <s:c r="G46" s="22">
        <s:f>SUM(G41:G45)</s:f>
        <s:v>0</s:v>
      </s:c>
      <s:c r="H46" s="22">
        <s:f>SUM(H41:H45)</s:f>
        <s:v>0</s:v>
      </s:c>
      <s:c r="I46" s="22">
        <s:f>SUM(I41:I45)</s:f>
        <s:v>0</s:v>
      </s:c>
      <s:c r="J46" s="22">
        <s:f>SUM(J41:J45)</s:f>
        <s:v>0</s:v>
      </s:c>
      <s:c r="K46" s="22">
        <s:f>SUM(K41:K45)</s:f>
        <s:v>0</s:v>
      </s:c>
      <s:c r="L46" s="22">
        <s:f>SUM(L41:L45)</s:f>
        <s:v>0</s:v>
      </s:c>
      <s:c r="M46" s="22">
        <s:f>SUM(M41:M45)</s:f>
        <s:v>0</s:v>
      </s:c>
      <s:c r="N46" s="22">
        <s:f>SUM(N41:N45)</s:f>
        <s:v>0</s:v>
      </s:c>
      <s:c r="O46" s="22">
        <s:f>SUM(O41:O45)</s:f>
        <s:v>0</s:v>
      </s:c>
      <s:c r="P46" s="22">
        <s:f>SUM(P41:P45)</s:f>
        <s:v>0</s:v>
      </s:c>
      <s:c r="Q46" s="22">
        <s:f>SUM(Q41:Q45)</s:f>
        <s:v>0</s:v>
      </s:c>
      <s:c r="R46" s="22">
        <s:f>SUM(R41:R45)</s:f>
        <s:v>0</s:v>
      </s:c>
      <s:c r="S46" s="22">
        <s:f>SUM(S41:S45)</s:f>
        <s:v>0</s:v>
      </s:c>
      <s:c r="T46" s="22">
        <s:f>SUM(T41:T45)</s:f>
        <s:v>0</s:v>
      </s:c>
    </s:row>
    <s:row r="48">
      <s:c r="A48" s="3" t="inlineStr">
        <s:is>
          <s:t>CASH FLOW SUMMARY</s:t>
        </s:is>
      </s:c>
      <s:c r="B48" s="4" t="inlineStr"/>
      <s:c r="C48" s="4" t="inlineStr"/>
      <s:c r="D48" s="4" t="inlineStr"/>
      <s:c r="E48" s="4" t="inlineStr"/>
      <s:c r="F48" s="4" t="inlineStr"/>
      <s:c r="G48" s="4" t="inlineStr"/>
      <s:c r="H48" s="4" t="inlineStr"/>
      <s:c r="I48" s="4" t="inlineStr"/>
      <s:c r="J48" s="4" t="inlineStr"/>
      <s:c r="K48" s="4" t="inlineStr"/>
      <s:c r="L48" s="4" t="inlineStr"/>
      <s:c r="M48" s="4" t="inlineStr"/>
      <s:c r="N48" s="4" t="inlineStr"/>
      <s:c r="O48" s="4" t="inlineStr"/>
      <s:c r="P48" s="4" t="inlineStr"/>
      <s:c r="Q48" s="4" t="inlineStr"/>
      <s:c r="R48" s="4" t="inlineStr"/>
      <s:c r="S48" s="4" t="inlineStr"/>
      <s:c r="T48" s="4" t="inlineStr"/>
    </s:row>
    <s:row r="49">
      <s:c r="A49" s="5" t="inlineStr">
        <s:is>
          <s:t>Total Cash Operating Costs</s:t>
        </s:is>
      </s:c>
      <s:c r="B49" s="21">
        <s:f>B20+B30+B38+B46</s:f>
        <s:v>20382.666666666668</s:v>
      </s:c>
      <s:c r="C49" s="21">
        <s:f>C20+C30+C38+C46</s:f>
        <s:v>10440.666666666668</s:v>
      </s:c>
      <s:c r="D49" s="21">
        <s:f>D20+D30+D38+D46</s:f>
        <s:v>11247.666666666668</s:v>
      </s:c>
      <s:c r="E49" s="21">
        <s:f>E20+E30+E38+E46</s:f>
        <s:v>11976</s:v>
      </s:c>
      <s:c r="F49" s="21">
        <s:f>F20+F30+F38+F46</s:f>
        <s:v>12972</s:v>
      </s:c>
      <s:c r="G49" s="21">
        <s:f>G20+G30+G38+G46</s:f>
        <s:v>14319</s:v>
      </s:c>
      <s:c r="H49" s="21">
        <s:f>H20+H30+H38+H46</s:f>
        <s:v>16739</s:v>
      </s:c>
      <s:c r="I49" s="21">
        <s:f>I20+I30+I38+I46</s:f>
        <s:v>19260</s:v>
      </s:c>
      <s:c r="J49" s="21">
        <s:f>J20+J30+J38+J46</s:f>
        <s:v>21368</s:v>
      </s:c>
      <s:c r="K49" s="21">
        <s:f>K20+K30+K38+K46</s:f>
        <s:v>22077</s:v>
      </s:c>
      <s:c r="L49" s="21">
        <s:f>L20+L30+L38+L46</s:f>
        <s:v>22873</s:v>
      </s:c>
      <s:c r="M49" s="21">
        <s:f>M20+M30+M38+M46</s:f>
        <s:v>26241</s:v>
      </s:c>
      <s:c r="N49" s="21">
        <s:f>N20+N30+N38+N46</s:f>
        <s:v>29196</s:v>
      </s:c>
      <s:c r="O49" s="21">
        <s:f>O20+O30+O38+O46</s:f>
        <s:v>30238</s:v>
      </s:c>
      <s:c r="P49" s="21">
        <s:f>P20+P30+P38+P46</s:f>
        <s:v>36367</s:v>
      </s:c>
      <s:c r="Q49" s="21">
        <s:f>Q20+Q30+Q38+Q46</s:f>
        <s:v>37568</s:v>
      </s:c>
      <s:c r="R49" s="21">
        <s:f>R20+R30+R38+R46</s:f>
        <s:v>38856</s:v>
      </s:c>
      <s:c r="S49" s="21">
        <s:f>S20+S30+S38+S46</s:f>
        <s:v>40216</s:v>
      </s:c>
      <s:c r="T49" s="21">
        <s:f>T20+T30+T38+T46</s:f>
        <s:v>41663</s:v>
      </s:c>
      <s:c r="U49" s="8" t="inlineStr">
        <s:is>
          <s:t>COGS+Fixed+Variable+One-time</s:t>
        </s:is>
      </s:c>
    </s:row>
    <s:row r="50">
      <s:c r="A50" s="25" t="inlineStr">
        <s:is>
          <s:t>Net Operating Cash Flow</s:t>
        </s:is>
      </s:c>
      <s:c r="B50" s="22">
        <s:f>B16-B49</s:f>
        <s:v>-20382.666666666668</s:v>
      </s:c>
      <s:c r="C50" s="22">
        <s:f>C16-C49</s:f>
        <s:v>-8450.666666666668</s:v>
      </s:c>
      <s:c r="D50" s="22">
        <s:f>D16-D49</s:f>
        <s:v>-7267.666666666668</s:v>
      </s:c>
      <s:c r="E50" s="22">
        <s:f>E16-E49</s:f>
        <s:v>-3006</s:v>
      </s:c>
      <s:c r="F50" s="22">
        <s:f>F16-F49</s:f>
        <s:v>4481</s:v>
      </s:c>
      <s:c r="G50" s="22">
        <s:f>G16-G49</s:f>
        <s:v>15110</s:v>
      </s:c>
      <s:c r="H50" s="22">
        <s:f>H16-H49</s:f>
        <s:v>27161</s:v>
      </s:c>
      <s:c r="I50" s="22">
        <s:f>I16-I49</s:f>
        <s:v>42604</s:v>
      </s:c>
      <s:c r="J50" s="22">
        <s:f>J16-J49</s:f>
        <s:v>61454</s:v>
      </s:c>
      <s:c r="K50" s="22">
        <s:f>K16-K49</s:f>
        <s:v>85196</s:v>
      </s:c>
      <s:c r="L50" s="22">
        <s:f>L16-L49</s:f>
        <s:v>111845</s:v>
      </s:c>
      <s:c r="M50" s="22">
        <s:f>M16-M49</s:f>
        <s:v>138417</s:v>
      </s:c>
      <s:c r="N50" s="22">
        <s:f>N16-N49</s:f>
        <s:v>168396</s:v>
      </s:c>
      <s:c r="O50" s="22">
        <s:f>O16-O49</s:f>
        <s:v>203282</s:v>
      </s:c>
      <s:c r="P50" s="22">
        <s:f>P16-P49</s:f>
        <s:v>236075</s:v>
      </s:c>
      <s:c r="Q50" s="22">
        <s:f>Q16-Q49</s:f>
        <s:v>276291</s:v>
      </s:c>
      <s:c r="R50" s="22">
        <s:f>R16-R49</s:f>
        <s:v>319414</s:v>
      </s:c>
      <s:c r="S50" s="22">
        <s:f>S16-S49</s:f>
        <s:v>364960</s:v>
      </s:c>
      <s:c r="T50" s="22">
        <s:f>T16-T49</s:f>
        <s:v>413413</s:v>
      </s:c>
      <s:c r="U50" s="8" t="inlineStr">
        <s:is>
          <s:t>MRR less cash op costs; pre-capital, pre-Joe repay</s:t>
        </s:is>
      </s:c>
    </s:row>
    <s:row r="51">
      <s:c r="A51" s="5" t="inlineStr">
        <s:is>
          <s:t>Beginning Cash</s:t>
        </s:is>
      </s:c>
      <s:c r="B51" s="21">
        <s:f>0</s:f>
        <s:v>0</s:v>
      </s:c>
      <s:c r="C51" s="21">
        <s:f>B54</s:f>
        <s:v>34617.33333333333</s:v>
      </s:c>
      <s:c r="D51" s="21">
        <s:f>C54</s:f>
        <s:v>26166.66666666666</s:v>
      </s:c>
      <s:c r="E51" s="21">
        <s:f>D54</s:f>
        <s:v>18898.999999999993</s:v>
      </s:c>
      <s:c r="F51" s="21">
        <s:f>E54</s:f>
        <s:v>15892.999999999993</s:v>
      </s:c>
      <s:c r="G51" s="21">
        <s:f>F54</s:f>
        <s:v>15000</s:v>
      </s:c>
      <s:c r="H51" s="21">
        <s:f>G54</s:f>
        <s:v>15000</s:v>
      </s:c>
      <s:c r="I51" s="21">
        <s:f>H54</s:f>
        <s:v>15000</s:v>
      </s:c>
      <s:c r="J51" s="21">
        <s:f>I54</s:f>
        <s:v>48378.4090558509</s:v>
      </s:c>
      <s:c r="K51" s="21">
        <s:f>J54</s:f>
        <s:v>109832.4090558509</s:v>
      </s:c>
      <s:c r="L51" s="21">
        <s:f>K54</s:f>
        <s:v>195028.4090558509</s:v>
      </s:c>
      <s:c r="M51" s="21">
        <s:f>L54</s:f>
        <s:v>306873.40905585093</s:v>
      </s:c>
      <s:c r="N51" s="21">
        <s:f>M54</s:f>
        <s:v>445290.40905585093</s:v>
      </s:c>
      <s:c r="O51" s="21">
        <s:f>N54</s:f>
        <s:v>613686.4090558509</s:v>
      </s:c>
      <s:c r="P51" s="21">
        <s:f>O54</s:f>
        <s:v>816968.4090558509</s:v>
      </s:c>
      <s:c r="Q51" s="21">
        <s:f>P54</s:f>
        <s:v>1053043.409055851</s:v>
      </s:c>
      <s:c r="R51" s="21">
        <s:f>Q54</s:f>
        <s:v>1329334.409055851</s:v>
      </s:c>
      <s:c r="S51" s="21">
        <s:f>R54</s:f>
        <s:v>1648748.409055851</s:v>
      </s:c>
      <s:c r="T51" s="21">
        <s:f>S54</s:f>
        <s:v>2013708.409055851</s:v>
      </s:c>
    </s:row>
    <s:row r="52">
      <s:c r="A52" s="5" t="inlineStr">
        <s:is>
          <s:t>Cash Available Before Loan Repayment</s:t>
        </s:is>
      </s:c>
      <s:c r="B52" s="21">
        <s:f>B51+B50+B6</s:f>
        <s:v>34617.33333333333</s:v>
      </s:c>
      <s:c r="C52" s="21">
        <s:f>C51+C50+C6</s:f>
        <s:v>26166.66666666666</s:v>
      </s:c>
      <s:c r="D52" s="21">
        <s:f>D51+D50+D6</s:f>
        <s:v>18898.999999999993</s:v>
      </s:c>
      <s:c r="E52" s="21">
        <s:f>E51+E50+E6</s:f>
        <s:v>15892.999999999993</s:v>
      </s:c>
      <s:c r="F52" s="21">
        <s:f>F51+F50+F6</s:f>
        <s:v>20373.999999999993</s:v>
      </s:c>
      <s:c r="G52" s="21">
        <s:f>G51+G50+G6</s:f>
        <s:v>30110</s:v>
      </s:c>
      <s:c r="H52" s="21">
        <s:f>H51+H50+H6</s:f>
        <s:v>42161</s:v>
      </s:c>
      <s:c r="I52" s="21">
        <s:f>I51+I50+I6</s:f>
        <s:v>57604</s:v>
      </s:c>
      <s:c r="J52" s="21">
        <s:f>J51+J50+J6</s:f>
        <s:v>109832.4090558509</s:v>
      </s:c>
      <s:c r="K52" s="21">
        <s:f>K51+K50+K6</s:f>
        <s:v>195028.4090558509</s:v>
      </s:c>
      <s:c r="L52" s="21">
        <s:f>L51+L50+L6</s:f>
        <s:v>306873.40905585093</s:v>
      </s:c>
      <s:c r="M52" s="21">
        <s:f>M51+M50+M6</s:f>
        <s:v>445290.40905585093</s:v>
      </s:c>
      <s:c r="N52" s="21">
        <s:f>N51+N50+N6</s:f>
        <s:v>613686.4090558509</s:v>
      </s:c>
      <s:c r="O52" s="21">
        <s:f>O51+O50+O6</s:f>
        <s:v>816968.4090558509</s:v>
      </s:c>
      <s:c r="P52" s="21">
        <s:f>P51+P50+P6</s:f>
        <s:v>1053043.409055851</s:v>
      </s:c>
      <s:c r="Q52" s="21">
        <s:f>Q51+Q50+Q6</s:f>
        <s:v>1329334.409055851</s:v>
      </s:c>
      <s:c r="R52" s="21">
        <s:f>R51+R50+R6</s:f>
        <s:v>1648748.409055851</s:v>
      </s:c>
      <s:c r="S52" s="21">
        <s:f>S51+S50+S6</s:f>
        <s:v>2013708.409055851</s:v>
      </s:c>
      <s:c r="T52" s="21">
        <s:f>T51+T50+T6</s:f>
        <s:v>2427121.409055851</s:v>
      </s:c>
    </s:row>
    <s:row r="53">
      <s:c r="A53" s="5" t="inlineStr">
        <s:is>
          <s:t>Joe Loan Repayment — Cash Sweep</s:t>
        </s:is>
      </s:c>
      <s:c r="B53" s="23">
        <s:f>IF(OR(Assumptions!$B$8=0,B50&lt;=0),0,MIN('Joe Loan'!B8,MAX(0,B52-Assumptions!$B$7)))</s:f>
        <s:v>0</s:v>
      </s:c>
      <s:c r="C53" s="23">
        <s:f>IF(OR(Assumptions!$B$8=0,C50&lt;=0),0,MIN('Joe Loan'!C8,MAX(0,C52-Assumptions!$B$7)))</s:f>
        <s:v>0</s:v>
      </s:c>
      <s:c r="D53" s="23">
        <s:f>IF(OR(Assumptions!$B$8=0,D50&lt;=0),0,MIN('Joe Loan'!D8,MAX(0,D52-Assumptions!$B$7)))</s:f>
        <s:v>0</s:v>
      </s:c>
      <s:c r="E53" s="23">
        <s:f>IF(OR(Assumptions!$B$8=0,E50&lt;=0),0,MIN('Joe Loan'!E8,MAX(0,E52-Assumptions!$B$7)))</s:f>
        <s:v>0</s:v>
      </s:c>
      <s:c r="F53" s="23">
        <s:f>IF(OR(Assumptions!$B$8=0,F50&lt;=0),0,MIN('Joe Loan'!F8,MAX(0,F52-Assumptions!$B$7)))</s:f>
        <s:v>5373.999999999993</s:v>
      </s:c>
      <s:c r="G53" s="23">
        <s:f>IF(OR(Assumptions!$B$8=0,G50&lt;=0),0,MIN('Joe Loan'!G8,MAX(0,G52-Assumptions!$B$7)))</s:f>
        <s:v>15110</s:v>
      </s:c>
      <s:c r="H53" s="23">
        <s:f>IF(OR(Assumptions!$B$8=0,H50&lt;=0),0,MIN('Joe Loan'!H8,MAX(0,H52-Assumptions!$B$7)))</s:f>
        <s:v>27161</s:v>
      </s:c>
      <s:c r="I53" s="23">
        <s:f>IF(OR(Assumptions!$B$8=0,I50&lt;=0),0,MIN('Joe Loan'!I8,MAX(0,I52-Assumptions!$B$7)))</s:f>
        <s:v>9225.590944149102</s:v>
      </s:c>
      <s:c r="J53" s="23">
        <s:f>IF(OR(Assumptions!$B$8=0,J50&lt;=0),0,MIN('Joe Loan'!J8,MAX(0,J52-Assumptions!$B$7)))</s:f>
        <s:v>0</s:v>
      </s:c>
      <s:c r="K53" s="23">
        <s:f>IF(OR(Assumptions!$B$8=0,K50&lt;=0),0,MIN('Joe Loan'!K8,MAX(0,K52-Assumptions!$B$7)))</s:f>
        <s:v>0</s:v>
      </s:c>
      <s:c r="L53" s="23">
        <s:f>IF(OR(Assumptions!$B$8=0,L50&lt;=0),0,MIN('Joe Loan'!L8,MAX(0,L52-Assumptions!$B$7)))</s:f>
        <s:v>0</s:v>
      </s:c>
      <s:c r="M53" s="23">
        <s:f>IF(OR(Assumptions!$B$8=0,M50&lt;=0),0,MIN('Joe Loan'!M8,MAX(0,M52-Assumptions!$B$7)))</s:f>
        <s:v>0</s:v>
      </s:c>
      <s:c r="N53" s="23">
        <s:f>IF(OR(Assumptions!$B$8=0,N50&lt;=0),0,MIN('Joe Loan'!N8,MAX(0,N52-Assumptions!$B$7)))</s:f>
        <s:v>0</s:v>
      </s:c>
      <s:c r="O53" s="23">
        <s:f>IF(OR(Assumptions!$B$8=0,O50&lt;=0),0,MIN('Joe Loan'!O8,MAX(0,O52-Assumptions!$B$7)))</s:f>
        <s:v>0</s:v>
      </s:c>
      <s:c r="P53" s="23">
        <s:f>IF(OR(Assumptions!$B$8=0,P50&lt;=0),0,MIN('Joe Loan'!P8,MAX(0,P52-Assumptions!$B$7)))</s:f>
        <s:v>0</s:v>
      </s:c>
      <s:c r="Q53" s="23">
        <s:f>IF(OR(Assumptions!$B$8=0,Q50&lt;=0),0,MIN('Joe Loan'!Q8,MAX(0,Q52-Assumptions!$B$7)))</s:f>
        <s:v>0</s:v>
      </s:c>
      <s:c r="R53" s="23">
        <s:f>IF(OR(Assumptions!$B$8=0,R50&lt;=0),0,MIN('Joe Loan'!R8,MAX(0,R52-Assumptions!$B$7)))</s:f>
        <s:v>0</s:v>
      </s:c>
      <s:c r="S53" s="23">
        <s:f>IF(OR(Assumptions!$B$8=0,S50&lt;=0),0,MIN('Joe Loan'!S8,MAX(0,S52-Assumptions!$B$7)))</s:f>
        <s:v>0</s:v>
      </s:c>
      <s:c r="T53" s="23">
        <s:f>IF(OR(Assumptions!$B$8=0,T50&lt;=0),0,MIN('Joe Loan'!T8,MAX(0,T52-Assumptions!$B$7)))</s:f>
        <s:v>0</s:v>
      </s:c>
    </s:row>
    <s:row r="54">
      <s:c r="A54" s="25" t="inlineStr">
        <s:is>
          <s:t>ENDING CASH BALANCE</s:t>
        </s:is>
      </s:c>
      <s:c r="B54" s="29">
        <s:f>B52-B53</s:f>
        <s:v>34617.33333333333</s:v>
      </s:c>
      <s:c r="C54" s="29">
        <s:f>C52-C53</s:f>
        <s:v>26166.66666666666</s:v>
      </s:c>
      <s:c r="D54" s="29">
        <s:f>D52-D53</s:f>
        <s:v>18898.999999999993</s:v>
      </s:c>
      <s:c r="E54" s="29">
        <s:f>E52-E53</s:f>
        <s:v>15892.999999999993</s:v>
      </s:c>
      <s:c r="F54" s="29">
        <s:f>F52-F53</s:f>
        <s:v>15000</s:v>
      </s:c>
      <s:c r="G54" s="29">
        <s:f>G52-G53</s:f>
        <s:v>15000</s:v>
      </s:c>
      <s:c r="H54" s="29">
        <s:f>H52-H53</s:f>
        <s:v>15000</s:v>
      </s:c>
      <s:c r="I54" s="29">
        <s:f>I52-I53</s:f>
        <s:v>48378.4090558509</s:v>
      </s:c>
      <s:c r="J54" s="29">
        <s:f>J52-J53</s:f>
        <s:v>109832.4090558509</s:v>
      </s:c>
      <s:c r="K54" s="29">
        <s:f>K52-K53</s:f>
        <s:v>195028.4090558509</s:v>
      </s:c>
      <s:c r="L54" s="29">
        <s:f>L52-L53</s:f>
        <s:v>306873.40905585093</s:v>
      </s:c>
      <s:c r="M54" s="29">
        <s:f>M52-M53</s:f>
        <s:v>445290.40905585093</s:v>
      </s:c>
      <s:c r="N54" s="29">
        <s:f>N52-N53</s:f>
        <s:v>613686.4090558509</s:v>
      </s:c>
      <s:c r="O54" s="29">
        <s:f>O52-O53</s:f>
        <s:v>816968.4090558509</s:v>
      </s:c>
      <s:c r="P54" s="29">
        <s:f>P52-P53</s:f>
        <s:v>1053043.409055851</s:v>
      </s:c>
      <s:c r="Q54" s="29">
        <s:f>Q52-Q53</s:f>
        <s:v>1329334.409055851</s:v>
      </s:c>
      <s:c r="R54" s="29">
        <s:f>R52-R53</s:f>
        <s:v>1648748.409055851</s:v>
      </s:c>
      <s:c r="S54" s="29">
        <s:f>S52-S53</s:f>
        <s:v>2013708.409055851</s:v>
      </s:c>
      <s:c r="T54" s="29">
        <s:f>T52-T53</s:f>
        <s:v>2427121.409055851</s:v>
      </s:c>
    </s:row>
    <s:row r="55">
      <s:c r="A55" s="5" t="inlineStr">
        <s:is>
          <s:t>Cumulative Net Operating Cash Flow</s:t>
        </s:is>
      </s:c>
      <s:c r="B55" s="21">
        <s:f>B50</s:f>
        <s:v>-20382.666666666668</s:v>
      </s:c>
      <s:c r="C55" s="21">
        <s:f>B55+C50</s:f>
        <s:v>-28833.333333333336</s:v>
      </s:c>
      <s:c r="D55" s="21">
        <s:f>C55+D50</s:f>
        <s:v>-36101</s:v>
      </s:c>
      <s:c r="E55" s="21">
        <s:f>D55+E50</s:f>
        <s:v>-39107</s:v>
      </s:c>
      <s:c r="F55" s="21">
        <s:f>E55+F50</s:f>
        <s:v>-34626</s:v>
      </s:c>
      <s:c r="G55" s="21">
        <s:f>F55+G50</s:f>
        <s:v>-19516</s:v>
      </s:c>
      <s:c r="H55" s="21">
        <s:f>G55+H50</s:f>
        <s:v>7645</s:v>
      </s:c>
      <s:c r="I55" s="21">
        <s:f>H55+I50</s:f>
        <s:v>50249</s:v>
      </s:c>
      <s:c r="J55" s="21">
        <s:f>I55+J50</s:f>
        <s:v>111703</s:v>
      </s:c>
      <s:c r="K55" s="21">
        <s:f>J55+K50</s:f>
        <s:v>196899</s:v>
      </s:c>
      <s:c r="L55" s="21">
        <s:f>K55+L50</s:f>
        <s:v>308744</s:v>
      </s:c>
      <s:c r="M55" s="21">
        <s:f>L55+M50</s:f>
        <s:v>447161</s:v>
      </s:c>
      <s:c r="N55" s="21">
        <s:f>M55+N50</s:f>
        <s:v>615557</s:v>
      </s:c>
      <s:c r="O55" s="21">
        <s:f>N55+O50</s:f>
        <s:v>818839</s:v>
      </s:c>
      <s:c r="P55" s="21">
        <s:f>O55+P50</s:f>
        <s:v>1054914</s:v>
      </s:c>
      <s:c r="Q55" s="21">
        <s:f>P55+Q50</s:f>
        <s:v>1331205</s:v>
      </s:c>
      <s:c r="R55" s="21">
        <s:f>Q55+R50</s:f>
        <s:v>1650619</s:v>
      </s:c>
      <s:c r="S55" s="21">
        <s:f>R55+S50</s:f>
        <s:v>2015579</s:v>
      </s:c>
      <s:c r="T55" s="21">
        <s:f>S55+T50</s:f>
        <s:v>2428992</s:v>
      </s:c>
      <s:c r="U55" s="8" t="inlineStr">
        <s:is>
          <s:t>Trough sizes Joe's loan</s:t>
        </s:is>
      </s:c>
    </s:row>
    <s:row r="56">
      <s:c r="A56" s="5" t="inlineStr">
        <s:is>
          <s:t>Implied Cash Runway (months)</s:t>
        </s:is>
      </s:c>
      <s:c r="B56" s="30">
        <s:f>IFERROR(IF(B50&lt;0,B54/-B50,"inf"),0)</s:f>
        <s:v>1.6983711650421924</s:v>
      </s:c>
      <s:c r="C56" s="30">
        <s:f>IFERROR(IF(C50&lt;0,C54/-C50,"inf"),0)</s:f>
        <s:v>3.096402650678446</s:v>
      </s:c>
      <s:c r="D56" s="30">
        <s:f>IFERROR(IF(D50&lt;0,D54/-D50,"inf"),0)</s:f>
        <s:v>2.600421960280694</s:v>
      </s:c>
      <s:c r="E56" s="30">
        <s:f>IFERROR(IF(E50&lt;0,E54/-E50,"inf"),0)</s:f>
        <s:v>5.287092481703258</s:v>
      </s:c>
      <s:c r="F56" s="30" t="str">
        <s:f>IFERROR(IF(F50&lt;0,F54/-F50,"inf"),0)</s:f>
        <s:v>inf</s:v>
      </s:c>
      <s:c r="G56" s="30" t="str">
        <s:f>IFERROR(IF(G50&lt;0,G54/-G50,"inf"),0)</s:f>
        <s:v>inf</s:v>
      </s:c>
      <s:c r="H56" s="30" t="str">
        <s:f>IFERROR(IF(H50&lt;0,H54/-H50,"inf"),0)</s:f>
        <s:v>inf</s:v>
      </s:c>
      <s:c r="I56" s="30" t="str">
        <s:f>IFERROR(IF(I50&lt;0,I54/-I50,"inf"),0)</s:f>
        <s:v>inf</s:v>
      </s:c>
      <s:c r="J56" s="30" t="str">
        <s:f>IFERROR(IF(J50&lt;0,J54/-J50,"inf"),0)</s:f>
        <s:v>inf</s:v>
      </s:c>
      <s:c r="K56" s="30" t="str">
        <s:f>IFERROR(IF(K50&lt;0,K54/-K50,"inf"),0)</s:f>
        <s:v>inf</s:v>
      </s:c>
      <s:c r="L56" s="30" t="str">
        <s:f>IFERROR(IF(L50&lt;0,L54/-L50,"inf"),0)</s:f>
        <s:v>inf</s:v>
      </s:c>
      <s:c r="M56" s="30" t="str">
        <s:f>IFERROR(IF(M50&lt;0,M54/-M50,"inf"),0)</s:f>
        <s:v>inf</s:v>
      </s:c>
      <s:c r="N56" s="30" t="str">
        <s:f>IFERROR(IF(N50&lt;0,N54/-N50,"inf"),0)</s:f>
        <s:v>inf</s:v>
      </s:c>
      <s:c r="O56" s="30" t="str">
        <s:f>IFERROR(IF(O50&lt;0,O54/-O50,"inf"),0)</s:f>
        <s:v>inf</s:v>
      </s:c>
      <s:c r="P56" s="30" t="str">
        <s:f>IFERROR(IF(P50&lt;0,P54/-P50,"inf"),0)</s:f>
        <s:v>inf</s:v>
      </s:c>
      <s:c r="Q56" s="30" t="str">
        <s:f>IFERROR(IF(Q50&lt;0,Q54/-Q50,"inf"),0)</s:f>
        <s:v>inf</s:v>
      </s:c>
      <s:c r="R56" s="30" t="str">
        <s:f>IFERROR(IF(R50&lt;0,R54/-R50,"inf"),0)</s:f>
        <s:v>inf</s:v>
      </s:c>
      <s:c r="S56" s="30" t="str">
        <s:f>IFERROR(IF(S50&lt;0,S54/-S50,"inf"),0)</s:f>
        <s:v>inf</s:v>
      </s:c>
      <s:c r="T56" s="30" t="str">
        <s:f>IFERROR(IF(T50&lt;0,T54/-T50,"inf"),0)</s:f>
        <s:v>inf</s:v>
      </s:c>
    </s:row>
    <s:row r="58">
      <s:c r="A58" s="3" t="inlineStr">
        <s:is>
          <s:t>DEBT &amp; NON-CASH MEMO</s:t>
        </s:is>
      </s:c>
      <s:c r="B58" s="4" t="inlineStr"/>
      <s:c r="C58" s="4" t="inlineStr"/>
      <s:c r="D58" s="4" t="inlineStr"/>
      <s:c r="E58" s="4" t="inlineStr"/>
      <s:c r="F58" s="4" t="inlineStr"/>
      <s:c r="G58" s="4" t="inlineStr"/>
      <s:c r="H58" s="4" t="inlineStr"/>
      <s:c r="I58" s="4" t="inlineStr"/>
      <s:c r="J58" s="4" t="inlineStr"/>
      <s:c r="K58" s="4" t="inlineStr"/>
      <s:c r="L58" s="4" t="inlineStr"/>
      <s:c r="M58" s="4" t="inlineStr"/>
      <s:c r="N58" s="4" t="inlineStr"/>
      <s:c r="O58" s="4" t="inlineStr"/>
      <s:c r="P58" s="4" t="inlineStr"/>
      <s:c r="Q58" s="4" t="inlineStr"/>
      <s:c r="R58" s="4" t="inlineStr"/>
      <s:c r="S58" s="4" t="inlineStr"/>
      <s:c r="T58" s="4" t="inlineStr"/>
    </s:row>
    <s:row r="59">
      <s:c r="A59" s="5" t="inlineStr">
        <s:is>
          <s:t>Joe Loan — Interest Accrued (non-cash)</s:t>
        </s:is>
      </s:c>
      <s:c r="B59" s="23">
        <s:f>'Joe Loan'!B7</s:f>
        <s:v>275</s:v>
      </s:c>
      <s:c r="C59" s="23">
        <s:f>'Joe Loan'!C7</s:f>
        <s:v>276.375</s:v>
      </s:c>
      <s:c r="D59" s="23">
        <s:f>'Joe Loan'!D7</s:f>
        <s:v>277.756875</s:v>
      </s:c>
      <s:c r="E59" s="23">
        <s:f>'Joe Loan'!E7</s:f>
        <s:v>279.145659375</s:v>
      </s:c>
      <s:c r="F59" s="23">
        <s:f>'Joe Loan'!F7</s:f>
        <s:v>280.541387671875</s:v>
      </s:c>
      <s:c r="G59" s="23">
        <s:f>'Joe Loan'!G7</s:f>
        <s:v>255.0740946102344</s:v>
      </s:c>
      <s:c r="H59" s="23">
        <s:f>'Joe Loan'!H7</s:f>
        <s:v>180.79946508328555</s:v>
      </s:c>
      <s:c r="I59" s="23">
        <s:f>'Joe Loan'!I7</s:f>
        <s:v>45.898462408701995</s:v>
      </s:c>
      <s:c r="J59" s="23">
        <s:f>'Joe Loan'!J7</s:f>
        <s:v>0</s:v>
      </s:c>
      <s:c r="K59" s="23">
        <s:f>'Joe Loan'!K7</s:f>
        <s:v>0</s:v>
      </s:c>
      <s:c r="L59" s="23">
        <s:f>'Joe Loan'!L7</s:f>
        <s:v>0</s:v>
      </s:c>
      <s:c r="M59" s="23">
        <s:f>'Joe Loan'!M7</s:f>
        <s:v>0</s:v>
      </s:c>
      <s:c r="N59" s="23">
        <s:f>'Joe Loan'!N7</s:f>
        <s:v>0</s:v>
      </s:c>
      <s:c r="O59" s="23">
        <s:f>'Joe Loan'!O7</s:f>
        <s:v>0</s:v>
      </s:c>
      <s:c r="P59" s="23">
        <s:f>'Joe Loan'!P7</s:f>
        <s:v>0</s:v>
      </s:c>
      <s:c r="Q59" s="23">
        <s:f>'Joe Loan'!Q7</s:f>
        <s:v>0</s:v>
      </s:c>
      <s:c r="R59" s="23">
        <s:f>'Joe Loan'!R7</s:f>
        <s:v>0</s:v>
      </s:c>
      <s:c r="S59" s="23">
        <s:f>'Joe Loan'!S7</s:f>
        <s:v>0</s:v>
      </s:c>
      <s:c r="T59" s="23">
        <s:f>'Joe Loan'!T7</s:f>
        <s:v>0</s:v>
      </s:c>
    </s:row>
    <s:row r="60">
      <s:c r="A60" s="5" t="inlineStr">
        <s:is>
          <s:t>Joe Loan — Balance Outstanding (end)</s:t>
        </s:is>
      </s:c>
      <s:c r="B60" s="23">
        <s:f>'Joe Loan'!B10</s:f>
        <s:v>55275</s:v>
      </s:c>
      <s:c r="C60" s="23">
        <s:f>'Joe Loan'!C10</s:f>
        <s:v>55551.375</s:v>
      </s:c>
      <s:c r="D60" s="23">
        <s:f>'Joe Loan'!D10</s:f>
        <s:v>55829.131875</s:v>
      </s:c>
      <s:c r="E60" s="23">
        <s:f>'Joe Loan'!E10</s:f>
        <s:v>56108.277534374996</s:v>
      </s:c>
      <s:c r="F60" s="23">
        <s:f>'Joe Loan'!F10</s:f>
        <s:v>51014.81892204688</s:v>
      </s:c>
      <s:c r="G60" s="23">
        <s:f>'Joe Loan'!G10</s:f>
        <s:v>36159.893016657115</s:v>
      </s:c>
      <s:c r="H60" s="23">
        <s:f>'Joe Loan'!H10</s:f>
        <s:v>9179.6924817404</s:v>
      </s:c>
      <s:c r="I60" s="23">
        <s:f>'Joe Loan'!I10</s:f>
        <s:v>0</s:v>
      </s:c>
      <s:c r="J60" s="23">
        <s:f>'Joe Loan'!J10</s:f>
        <s:v>0</s:v>
      </s:c>
      <s:c r="K60" s="23">
        <s:f>'Joe Loan'!K10</s:f>
        <s:v>0</s:v>
      </s:c>
      <s:c r="L60" s="23">
        <s:f>'Joe Loan'!L10</s:f>
        <s:v>0</s:v>
      </s:c>
      <s:c r="M60" s="23">
        <s:f>'Joe Loan'!M10</s:f>
        <s:v>0</s:v>
      </s:c>
      <s:c r="N60" s="23">
        <s:f>'Joe Loan'!N10</s:f>
        <s:v>0</s:v>
      </s:c>
      <s:c r="O60" s="23">
        <s:f>'Joe Loan'!O10</s:f>
        <s:v>0</s:v>
      </s:c>
      <s:c r="P60" s="23">
        <s:f>'Joe Loan'!P10</s:f>
        <s:v>0</s:v>
      </s:c>
      <s:c r="Q60" s="23">
        <s:f>'Joe Loan'!Q10</s:f>
        <s:v>0</s:v>
      </s:c>
      <s:c r="R60" s="23">
        <s:f>'Joe Loan'!R10</s:f>
        <s:v>0</s:v>
      </s:c>
      <s:c r="S60" s="23">
        <s:f>'Joe Loan'!S10</s:f>
        <s:v>0</s:v>
      </s:c>
      <s:c r="T60" s="23">
        <s:f>'Joe Loan'!T10</s:f>
        <s:v>0</s:v>
      </s:c>
    </s:row>
    <s:row r="61">
      <s:c r="A61" s="5" t="inlineStr">
        <s:is>
          <s:t>Joe Deferred Comp — this month (non-cash)</s:t>
        </s:is>
      </s:c>
      <s:c r="B61" s="21">
        <s:f>Assumptions!$B$13</s:f>
        <s:v>0</s:v>
      </s:c>
      <s:c r="C61" s="21">
        <s:f>Assumptions!$B$13</s:f>
        <s:v>0</s:v>
      </s:c>
      <s:c r="D61" s="21">
        <s:f>Assumptions!$B$13</s:f>
        <s:v>0</s:v>
      </s:c>
      <s:c r="E61" s="21">
        <s:f>Assumptions!$B$13</s:f>
        <s:v>0</s:v>
      </s:c>
      <s:c r="F61" s="21">
        <s:f>Assumptions!$B$13</s:f>
        <s:v>0</s:v>
      </s:c>
      <s:c r="G61" s="21">
        <s:f>Assumptions!$B$13</s:f>
        <s:v>0</s:v>
      </s:c>
      <s:c r="H61" s="21">
        <s:f>Assumptions!$B$13</s:f>
        <s:v>0</s:v>
      </s:c>
      <s:c r="I61" s="21">
        <s:f>Assumptions!$B$13</s:f>
        <s:v>0</s:v>
      </s:c>
      <s:c r="J61" s="21">
        <s:f>Assumptions!$B$13</s:f>
        <s:v>0</s:v>
      </s:c>
      <s:c r="K61" s="21">
        <s:f>Assumptions!$B$13</s:f>
        <s:v>0</s:v>
      </s:c>
      <s:c r="L61" s="21">
        <s:f>Assumptions!$B$13</s:f>
        <s:v>0</s:v>
      </s:c>
      <s:c r="M61" s="21">
        <s:f>Assumptions!$B$13</s:f>
        <s:v>0</s:v>
      </s:c>
      <s:c r="N61" s="21">
        <s:f>Assumptions!$B$13</s:f>
        <s:v>0</s:v>
      </s:c>
      <s:c r="O61" s="21">
        <s:f>Assumptions!$B$13</s:f>
        <s:v>0</s:v>
      </s:c>
      <s:c r="P61" s="21">
        <s:f>Assumptions!$B$13</s:f>
        <s:v>0</s:v>
      </s:c>
      <s:c r="Q61" s="21">
        <s:f>Assumptions!$B$13</s:f>
        <s:v>0</s:v>
      </s:c>
      <s:c r="R61" s="21">
        <s:f>Assumptions!$B$13</s:f>
        <s:v>0</s:v>
      </s:c>
      <s:c r="S61" s="21">
        <s:f>Assumptions!$B$13</s:f>
        <s:v>0</s:v>
      </s:c>
      <s:c r="T61" s="21">
        <s:f>Assumptions!$B$13</s:f>
        <s:v>0</s:v>
      </s:c>
    </s:row>
    <s:row r="62">
      <s:c r="A62" s="5" t="inlineStr">
        <s:is>
          <s:t>Joe Deferred Comp — cumulative balance</s:t>
        </s:is>
      </s:c>
      <s:c r="B62" s="21">
        <s:f>B61</s:f>
        <s:v>0</s:v>
      </s:c>
      <s:c r="C62" s="21">
        <s:f>B62+C61</s:f>
        <s:v>0</s:v>
      </s:c>
      <s:c r="D62" s="21">
        <s:f>C62+D61</s:f>
        <s:v>0</s:v>
      </s:c>
      <s:c r="E62" s="21">
        <s:f>D62+E61</s:f>
        <s:v>0</s:v>
      </s:c>
      <s:c r="F62" s="21">
        <s:f>E62+F61</s:f>
        <s:v>0</s:v>
      </s:c>
      <s:c r="G62" s="21">
        <s:f>F62+G61</s:f>
        <s:v>0</s:v>
      </s:c>
      <s:c r="H62" s="21">
        <s:f>G62+H61</s:f>
        <s:v>0</s:v>
      </s:c>
      <s:c r="I62" s="21">
        <s:f>H62+I61</s:f>
        <s:v>0</s:v>
      </s:c>
      <s:c r="J62" s="21">
        <s:f>I62+J61</s:f>
        <s:v>0</s:v>
      </s:c>
      <s:c r="K62" s="21">
        <s:f>J62+K61</s:f>
        <s:v>0</s:v>
      </s:c>
      <s:c r="L62" s="21">
        <s:f>K62+L61</s:f>
        <s:v>0</s:v>
      </s:c>
      <s:c r="M62" s="21">
        <s:f>L62+M61</s:f>
        <s:v>0</s:v>
      </s:c>
      <s:c r="N62" s="21">
        <s:f>M62+N61</s:f>
        <s:v>0</s:v>
      </s:c>
      <s:c r="O62" s="21">
        <s:f>N62+O61</s:f>
        <s:v>0</s:v>
      </s:c>
      <s:c r="P62" s="21">
        <s:f>O62+P61</s:f>
        <s:v>0</s:v>
      </s:c>
      <s:c r="Q62" s="21">
        <s:f>P62+Q61</s:f>
        <s:v>0</s:v>
      </s:c>
      <s:c r="R62" s="21">
        <s:f>Q62+R61</s:f>
        <s:v>0</s:v>
      </s:c>
      <s:c r="S62" s="21">
        <s:f>R62+S61</s:f>
        <s:v>0</s:v>
      </s:c>
      <s:c r="T62" s="21">
        <s:f>S62+T61</s:f>
        <s:v>0</s:v>
      </s:c>
    </s:row>
    <s:row r="64">
      <s:c r="A64" s="3" t="inlineStr">
        <s:is>
          <s:t>TRAILING METRICS</s:t>
        </s:is>
      </s:c>
      <s:c r="B64" s="4" t="inlineStr"/>
      <s:c r="C64" s="4" t="inlineStr"/>
      <s:c r="D64" s="4" t="inlineStr"/>
      <s:c r="E64" s="4" t="inlineStr"/>
      <s:c r="F64" s="4" t="inlineStr"/>
      <s:c r="G64" s="4" t="inlineStr"/>
      <s:c r="H64" s="4" t="inlineStr"/>
      <s:c r="I64" s="4" t="inlineStr"/>
      <s:c r="J64" s="4" t="inlineStr"/>
      <s:c r="K64" s="4" t="inlineStr"/>
      <s:c r="L64" s="4" t="inlineStr"/>
      <s:c r="M64" s="4" t="inlineStr"/>
      <s:c r="N64" s="4" t="inlineStr"/>
      <s:c r="O64" s="4" t="inlineStr"/>
      <s:c r="P64" s="4" t="inlineStr"/>
      <s:c r="Q64" s="4" t="inlineStr"/>
      <s:c r="R64" s="4" t="inlineStr"/>
      <s:c r="S64" s="4" t="inlineStr"/>
      <s:c r="T64" s="4" t="inlineStr"/>
    </s:row>
    <s:row r="65">
      <s:c r="A65" s="5" t="inlineStr">
        <s:is>
          <s:t>ARR (MRR x 12)</s:t>
        </s:is>
      </s:c>
      <s:c r="B65" s="21">
        <s:f>B16*12</s:f>
        <s:v>0</s:v>
      </s:c>
      <s:c r="C65" s="21">
        <s:f>C16*12</s:f>
        <s:v>23880</s:v>
      </s:c>
      <s:c r="D65" s="21">
        <s:f>D16*12</s:f>
        <s:v>47760</s:v>
      </s:c>
      <s:c r="E65" s="21">
        <s:f>E16*12</s:f>
        <s:v>107640</s:v>
      </s:c>
      <s:c r="F65" s="21">
        <s:f>F16*12</s:f>
        <s:v>209436</s:v>
      </s:c>
      <s:c r="G65" s="21">
        <s:f>G16*12</s:f>
        <s:v>353148</s:v>
      </s:c>
      <s:c r="H65" s="21">
        <s:f>H16*12</s:f>
        <s:v>526800</s:v>
      </s:c>
      <s:c r="I65" s="21">
        <s:f>I16*12</s:f>
        <s:v>742368</s:v>
      </s:c>
      <s:c r="J65" s="21">
        <s:f>J16*12</s:f>
        <s:v>993864</s:v>
      </s:c>
      <s:c r="K65" s="21">
        <s:f>K16*12</s:f>
        <s:v>1287276</s:v>
      </s:c>
      <s:c r="L65" s="21">
        <s:f>L16*12</s:f>
        <s:v>1616616</s:v>
      </s:c>
      <s:c r="M65" s="21">
        <s:f>M16*12</s:f>
        <s:v>1975896</s:v>
      </s:c>
      <s:c r="N65" s="21">
        <s:f>N16*12</s:f>
        <s:v>2371104</s:v>
      </s:c>
      <s:c r="O65" s="21">
        <s:f>O16*12</s:f>
        <s:v>2802240</s:v>
      </s:c>
      <s:c r="P65" s="21">
        <s:f>P16*12</s:f>
        <s:v>3269304</s:v>
      </s:c>
      <s:c r="Q65" s="21">
        <s:f>Q16*12</s:f>
        <s:v>3766308</s:v>
      </s:c>
      <s:c r="R65" s="21">
        <s:f>R16*12</s:f>
        <s:v>4299240</s:v>
      </s:c>
      <s:c r="S65" s="21">
        <s:f>S16*12</s:f>
        <s:v>4862112</s:v>
      </s:c>
      <s:c r="T65" s="21">
        <s:f>T16*12</s:f>
        <s:v>5460912</s:v>
      </s:c>
    </s:row>
    <s:row r="66">
      <s:c r="A66" s="5" t="inlineStr">
        <s:is>
          <s:t>Cumulative Revenue</s:t>
        </s:is>
      </s:c>
      <s:c r="B66" s="21">
        <s:f>B16</s:f>
        <s:v>0</s:v>
      </s:c>
      <s:c r="C66" s="21">
        <s:f>B66+C16</s:f>
        <s:v>1990</s:v>
      </s:c>
      <s:c r="D66" s="21">
        <s:f>C66+D16</s:f>
        <s:v>5970</s:v>
      </s:c>
      <s:c r="E66" s="21">
        <s:f>D66+E16</s:f>
        <s:v>14940</s:v>
      </s:c>
      <s:c r="F66" s="21">
        <s:f>E66+F16</s:f>
        <s:v>32393</s:v>
      </s:c>
      <s:c r="G66" s="21">
        <s:f>F66+G16</s:f>
        <s:v>61822</s:v>
      </s:c>
      <s:c r="H66" s="21">
        <s:f>G66+H16</s:f>
        <s:v>105722</s:v>
      </s:c>
      <s:c r="I66" s="21">
        <s:f>H66+I16</s:f>
        <s:v>167586</s:v>
      </s:c>
      <s:c r="J66" s="21">
        <s:f>I66+J16</s:f>
        <s:v>250408</s:v>
      </s:c>
      <s:c r="K66" s="21">
        <s:f>J66+K16</s:f>
        <s:v>357681</s:v>
      </s:c>
      <s:c r="L66" s="21">
        <s:f>K66+L16</s:f>
        <s:v>492399</s:v>
      </s:c>
      <s:c r="M66" s="21">
        <s:f>L66+M16</s:f>
        <s:v>657057</s:v>
      </s:c>
      <s:c r="N66" s="21">
        <s:f>M66+N16</s:f>
        <s:v>854649</s:v>
      </s:c>
      <s:c r="O66" s="21">
        <s:f>N66+O16</s:f>
        <s:v>1088169</s:v>
      </s:c>
      <s:c r="P66" s="21">
        <s:f>O66+P16</s:f>
        <s:v>1360611</s:v>
      </s:c>
      <s:c r="Q66" s="21">
        <s:f>P66+Q16</s:f>
        <s:v>1674470</s:v>
      </s:c>
      <s:c r="R66" s="21">
        <s:f>Q66+R16</s:f>
        <s:v>2032740</s:v>
      </s:c>
      <s:c r="S66" s="21">
        <s:f>R66+S16</s:f>
        <s:v>2437916</s:v>
      </s:c>
      <s:c r="T66" s="21">
        <s:f>S66+T16</s:f>
        <s:v>2892992</s:v>
      </s:c>
    </s:row>
    <s:row r="67">
      <s:c r="A67" s="5" t="inlineStr">
        <s:is>
          <s:t>Operating EBITDA</s:t>
        </s:is>
      </s:c>
      <s:c r="B67" s="21">
        <s:f>B16-B20-B30-B38</s:f>
        <s:v>-3716</s:v>
      </s:c>
      <s:c r="C67" s="21">
        <s:f>C16-C20-C30-C38</s:f>
        <s:v>-1784</s:v>
      </s:c>
      <s:c r="D67" s="21">
        <s:f>D16-D20-D30-D38</s:f>
        <s:v>-601</s:v>
      </s:c>
      <s:c r="E67" s="21">
        <s:f>E16-E20-E30-E38</s:f>
        <s:v>-3006</s:v>
      </s:c>
      <s:c r="F67" s="21">
        <s:f>F16-F20-F30-F38</s:f>
        <s:v>4481</s:v>
      </s:c>
      <s:c r="G67" s="21">
        <s:f>G16-G20-G30-G38</s:f>
        <s:v>15110</s:v>
      </s:c>
      <s:c r="H67" s="21">
        <s:f>H16-H20-H30-H38</s:f>
        <s:v>27161</s:v>
      </s:c>
      <s:c r="I67" s="21">
        <s:f>I16-I20-I30-I38</s:f>
        <s:v>42604</s:v>
      </s:c>
      <s:c r="J67" s="21">
        <s:f>J16-J20-J30-J38</s:f>
        <s:v>61454</s:v>
      </s:c>
      <s:c r="K67" s="21">
        <s:f>K16-K20-K30-K38</s:f>
        <s:v>85196</s:v>
      </s:c>
      <s:c r="L67" s="21">
        <s:f>L16-L20-L30-L38</s:f>
        <s:v>111845</s:v>
      </s:c>
      <s:c r="M67" s="21">
        <s:f>M16-M20-M30-M38</s:f>
        <s:v>138417</s:v>
      </s:c>
      <s:c r="N67" s="21">
        <s:f>N16-N20-N30-N38</s:f>
        <s:v>168396</s:v>
      </s:c>
      <s:c r="O67" s="21">
        <s:f>O16-O20-O30-O38</s:f>
        <s:v>203282</s:v>
      </s:c>
      <s:c r="P67" s="21">
        <s:f>P16-P20-P30-P38</s:f>
        <s:v>236075</s:v>
      </s:c>
      <s:c r="Q67" s="21">
        <s:f>Q16-Q20-Q30-Q38</s:f>
        <s:v>276291</s:v>
      </s:c>
      <s:c r="R67" s="21">
        <s:f>R16-R20-R30-R38</s:f>
        <s:v>319414</s:v>
      </s:c>
      <s:c r="S67" s="21">
        <s:f>S16-S20-S30-S38</s:f>
        <s:v>364960</s:v>
      </s:c>
      <s:c r="T67" s="21">
        <s:f>T16-T20-T30-T38</s:f>
        <s:v>413413</s:v>
      </s:c>
      <s:c r="U67" s="8" t="inlineStr">
        <s:is>
          <s:t>MRR - COGS - fixed - variable (excl. one-time &amp; non-cash)</s:t>
        </s:is>
      </s:c>
    </s:row>
    <s:row r="68">
      <s:c r="A68" s="5" t="inlineStr">
        <s:is>
          <s:t>Net Income</s:t>
        </s:is>
      </s:c>
      <s:c r="B68" s="21">
        <s:f>B67-B46-B59</s:f>
        <s:v>-20657.666666666668</s:v>
      </s:c>
      <s:c r="C68" s="21">
        <s:f>C67-C46-C59</s:f>
        <s:v>-8727.041666666668</s:v>
      </s:c>
      <s:c r="D68" s="21">
        <s:f>D67-D46-D59</s:f>
        <s:v>-7545.423541666667</s:v>
      </s:c>
      <s:c r="E68" s="21">
        <s:f>E67-E46-E59</s:f>
        <s:v>-3285.145659375</s:v>
      </s:c>
      <s:c r="F68" s="21">
        <s:f>F67-F46-F59</s:f>
        <s:v>4200.458612328125</s:v>
      </s:c>
      <s:c r="G68" s="21">
        <s:f>G67-G46-G59</s:f>
        <s:v>14854.925905389766</s:v>
      </s:c>
      <s:c r="H68" s="21">
        <s:f>H67-H46-H59</s:f>
        <s:v>26980.200534916716</s:v>
      </s:c>
      <s:c r="I68" s="21">
        <s:f>I67-I46-I59</s:f>
        <s:v>42558.1015375913</s:v>
      </s:c>
      <s:c r="J68" s="21">
        <s:f>J67-J46-J59</s:f>
        <s:v>61454</s:v>
      </s:c>
      <s:c r="K68" s="21">
        <s:f>K67-K46-K59</s:f>
        <s:v>85196</s:v>
      </s:c>
      <s:c r="L68" s="21">
        <s:f>L67-L46-L59</s:f>
        <s:v>111845</s:v>
      </s:c>
      <s:c r="M68" s="21">
        <s:f>M67-M46-M59</s:f>
        <s:v>138417</s:v>
      </s:c>
      <s:c r="N68" s="21">
        <s:f>N67-N46-N59</s:f>
        <s:v>168396</s:v>
      </s:c>
      <s:c r="O68" s="21">
        <s:f>O67-O46-O59</s:f>
        <s:v>203282</s:v>
      </s:c>
      <s:c r="P68" s="21">
        <s:f>P67-P46-P59</s:f>
        <s:v>236075</s:v>
      </s:c>
      <s:c r="Q68" s="21">
        <s:f>Q67-Q46-Q59</s:f>
        <s:v>276291</s:v>
      </s:c>
      <s:c r="R68" s="21">
        <s:f>R67-R46-R59</s:f>
        <s:v>319414</s:v>
      </s:c>
      <s:c r="S68" s="21">
        <s:f>S67-S46-S59</s:f>
        <s:v>364960</s:v>
      </s:c>
      <s:c r="T68" s="21">
        <s:f>T67-T46-T59</s:f>
        <s:v>413413</s:v>
      </s:c>
      <s:c r="U68" s="8" t="inlineStr">
        <s:is>
          <s:t>EBITDA - one-time - accrued interest</s:t>
        </s:is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T24"/>
  <s:sheetViews>
    <s:sheetView showGridLines="0" workbookViewId="0">
      <s:selection activeCell="A1" sqref="A1"/>
    </s:sheetView>
  </s:sheetViews>
  <s:sheetFormatPr baseColWidth="8" defaultRowHeight="15"/>
  <s:cols>
    <s:col width="34" customWidth="1" min="1" max="1"/>
    <s:col width="16" customWidth="1" min="2" max="2"/>
    <s:col width="12" customWidth="1" min="3" max="3"/>
    <s:col width="44" customWidth="1" min="4" max="4"/>
  </s:cols>
  <s:sheetData>
    <s:row r="1">
      <s:c r="A1" s="1" t="inlineStr">
        <s:is>
          <s:t>ExitBlueprint — Bootstrap Dashboard</s:t>
        </s:is>
      </s:c>
      <s:c r="B1" s="2" t="inlineStr"/>
      <s:c r="C1" s="2" t="inlineStr"/>
      <s:c r="D1" s="2" t="inlineStr"/>
      <s:c r="E1" s="2" t="inlineStr"/>
      <s:c r="F1" s="2" t="inlineStr"/>
      <s:c r="G1" s="2" t="inlineStr"/>
      <s:c r="H1" s="2" t="inlineStr"/>
      <s:c r="I1" s="2" t="inlineStr"/>
      <s:c r="J1" s="2" t="inlineStr"/>
      <s:c r="K1" s="2" t="inlineStr"/>
      <s:c r="L1" s="2" t="inlineStr"/>
      <s:c r="M1" s="2" t="inlineStr"/>
      <s:c r="N1" s="2" t="inlineStr"/>
      <s:c r="O1" s="2" t="inlineStr"/>
      <s:c r="P1" s="2" t="inlineStr"/>
      <s:c r="Q1" s="2" t="inlineStr"/>
      <s:c r="R1" s="2" t="inlineStr"/>
      <s:c r="S1" s="2" t="inlineStr"/>
      <s:c r="T1" s="2" t="inlineStr"/>
    </s:row>
    <s:row r="2">
      <s:c r="A2" s="6" t="inlineStr">
        <s:is>
          <s:t>One-screen read on the bootstrap: what Joe funds, when it's repaid, when the business self-funds.</s:t>
        </s:is>
      </s:c>
    </s:row>
    <s:row r="4">
      <s:c r="A4" s="3" t="inlineStr">
        <s:is>
          <s:t>JOE'S BOOTSTRAP LOAN</s:t>
        </s:is>
      </s:c>
      <s:c r="B4" s="4" t="inlineStr"/>
      <s:c r="C4" s="4" t="inlineStr"/>
      <s:c r="D4" s="4" t="inlineStr"/>
      <s:c r="E4" s="4" t="inlineStr"/>
      <s:c r="F4" s="4" t="inlineStr"/>
    </s:row>
    <s:row r="5">
      <s:c r="A5" s="5" t="inlineStr">
        <s:is>
          <s:t>Loan principal (from Joe)</s:t>
        </s:is>
      </s:c>
      <s:c r="B5" s="31">
        <s:f>Assumptions!$B$4</s:f>
        <s:v>55000</s:v>
      </s:c>
      <s:c r="D5" s="8" t="inlineStr">
        <s:is>
          <s:t>Founder loan; no equity taken</s:t>
        </s:is>
      </s:c>
    </s:row>
    <s:row r="6">
      <s:c r="A6" s="5" t="inlineStr">
        <s:is>
          <s:t>Annual interest rate</s:t>
        </s:is>
      </s:c>
      <s:c r="B6" s="32">
        <s:f>Assumptions!$B$5</s:f>
        <s:v>0.06</s:v>
      </s:c>
    </s:row>
    <s:row r="7">
      <s:c r="A7" s="5" t="inlineStr">
        <s:is>
          <s:t>Total interest accrued (life of loan)</s:t>
        </s:is>
      </s:c>
      <s:c r="B7" s="31">
        <s:f>SUM('Monthly Cash Flow'!B59:T59)</s:f>
        <s:v>1870.590944149097</s:v>
      </s:c>
      <s:c r="D7" s="8" t="inlineStr">
        <s:is>
          <s:t>Interest accrues (PIK) until swept</s:t>
        </s:is>
      </s:c>
    </s:row>
    <s:row r="8">
      <s:c r="A8" s="5" t="inlineStr">
        <s:is>
          <s:t>Total repaid to Joe by Mo 18</s:t>
        </s:is>
      </s:c>
      <s:c r="B8" s="31">
        <s:f>SUM('Monthly Cash Flow'!B53:T53)</s:f>
        <s:v>56870.590944149095</s:v>
      </s:c>
    </s:row>
    <s:row r="9">
      <s:c r="A9" s="5" t="inlineStr">
        <s:is>
          <s:t>Loan fully repaid</s:t>
        </s:is>
      </s:c>
      <s:c r="B9" s="33">
        <s:f>COUNTIF('Monthly Cash Flow'!B60:T60,"&gt;0.5")</s:f>
        <s:v>7</s:v>
      </s:c>
      <s:c r="C9" s="34" t="str">
        <s:f>INDEX('Monthly Cash Flow'!B3:T3,1,(COUNTIF('Monthly Cash Flow'!B60:T60,"&gt;0.5"))+1)</s:f>
        <s:v>Mar-27</s:v>
      </s:c>
      <s:c r="D9" s="8" t="inlineStr">
        <s:is>
          <s:t>First month balance hits zero</s:t>
        </s:is>
      </s:c>
    </s:row>
    <s:row r="10">
      <s:c r="A10" s="3" t="inlineStr">
        <s:is>
          <s:t>CASH &amp; RUNWAY</s:t>
        </s:is>
      </s:c>
      <s:c r="B10" s="4" t="inlineStr"/>
      <s:c r="C10" s="4" t="inlineStr"/>
      <s:c r="D10" s="4" t="inlineStr"/>
      <s:c r="E10" s="4" t="inlineStr"/>
      <s:c r="F10" s="4" t="inlineStr"/>
    </s:row>
    <s:row r="11">
      <s:c r="A11" s="5" t="inlineStr">
        <s:is>
          <s:t>Peak cumulative cash need (trough)</s:t>
        </s:is>
      </s:c>
      <s:c r="B11" s="31">
        <s:f>-MIN('Monthly Cash Flow'!B55:T55)</s:f>
        <s:v>39107</s:v>
      </s:c>
      <s:c r="D11" s="8" t="inlineStr">
        <s:is>
          <s:t>Deepest operating hole; drives loan size</s:t>
        </s:is>
      </s:c>
    </s:row>
    <s:row r="12">
      <s:c r="A12" s="5" t="inlineStr">
        <s:is>
          <s:t>Minimum ending cash (any month)</s:t>
        </s:is>
      </s:c>
      <s:c r="B12" s="31">
        <s:f>MIN('Monthly Cash Flow'!B54:T54)</s:f>
        <s:v>15000</s:v>
      </s:c>
      <s:c r="D12" s="8" t="inlineStr">
        <s:is>
          <s:t>Stays at/above the buffer if solvent</s:t>
        </s:is>
      </s:c>
    </s:row>
    <s:row r="13">
      <s:c r="A13" s="5" t="inlineStr">
        <s:is>
          <s:t>Cash buffer floor held</s:t>
        </s:is>
      </s:c>
      <s:c r="B13" s="31">
        <s:f>Assumptions!$B$7</s:f>
        <s:v>15000</s:v>
      </s:c>
    </s:row>
    <s:row r="14">
      <s:c r="A14" s="5" t="inlineStr">
        <s:is>
          <s:t>Ending cash at Mo 18 (Feb-28)</s:t>
        </s:is>
      </s:c>
      <s:c r="B14" s="31">
        <s:f>'Monthly Cash Flow'!T54</s:f>
        <s:v>2427121.409055851</s:v>
      </s:c>
    </s:row>
    <s:row r="15">
      <s:c r="A15" s="3" t="inlineStr">
        <s:is>
          <s:t>SELF-FUNDING MILESTONES</s:t>
        </s:is>
      </s:c>
      <s:c r="B15" s="4" t="inlineStr"/>
      <s:c r="C15" s="4" t="inlineStr"/>
      <s:c r="D15" s="4" t="inlineStr"/>
      <s:c r="E15" s="4" t="inlineStr"/>
      <s:c r="F15" s="4" t="inlineStr"/>
    </s:row>
    <s:row r="16">
      <s:c r="A16" s="5" t="inlineStr">
        <s:is>
          <s:t>Founder draws begin</s:t>
        </s:is>
      </s:c>
      <s:c r="B16" s="33">
        <s:f>COUNTIF('Monthly Cash Flow'!B27:T27,0)</s:f>
        <s:v>3</s:v>
      </s:c>
      <s:c r="C16" s="34" t="str">
        <s:f>INDEX('Monthly Cash Flow'!B3:T3,1,(COUNTIF('Monthly Cash Flow'!B27:T27,0))+1)</s:f>
        <s:v>Nov-26</s:v>
      </s:c>
      <s:c r="D16" s="8" t="inlineStr">
        <s:is>
          <s:t>First month gross profit &gt;= draw target</s:t>
        </s:is>
      </s:c>
    </s:row>
    <s:row r="17">
      <s:c r="A17" s="5" t="inlineStr">
        <s:is>
          <s:t xml:space="preserve">  Founder draw once started ($/mo)</s:t>
        </s:is>
      </s:c>
      <s:c r="B17" s="31">
        <s:f>Assumptions!$B$11</s:f>
        <s:v>5000</s:v>
      </s:c>
    </s:row>
    <s:row r="18">
      <s:c r="A18" s="5" t="inlineStr">
        <s:is>
          <s:t>Operating breakeven (cash-flow +)</s:t>
        </s:is>
      </s:c>
      <s:c r="B18" s="33">
        <s:f>COUNTIF('Monthly Cash Flow'!B50:T50,"&lt;0")</s:f>
        <s:v>4</s:v>
      </s:c>
      <s:c r="C18" s="34" t="str">
        <s:f>INDEX('Monthly Cash Flow'!B3:T3,1,(COUNTIF('Monthly Cash Flow'!B50:T50,"&lt;0"))+1)</s:f>
        <s:v>Dec-26</s:v>
      </s:c>
      <s:c r="D18" s="8" t="inlineStr">
        <s:is>
          <s:t>First month net operating cash flow &gt;= 0</s:t>
        </s:is>
      </s:c>
    </s:row>
    <s:row r="19">
      <s:c r="A19" s="3" t="inlineStr">
        <s:is>
          <s:t>TRACTION AT MONTH 18 (Feb-28)</s:t>
        </s:is>
      </s:c>
      <s:c r="B19" s="4" t="inlineStr"/>
      <s:c r="C19" s="4" t="inlineStr"/>
      <s:c r="D19" s="4" t="inlineStr"/>
      <s:c r="E19" s="4" t="inlineStr"/>
      <s:c r="F19" s="4" t="inlineStr"/>
    </s:row>
    <s:row r="20">
      <s:c r="A20" s="35" t="inlineStr">
        <s:is>
          <s:t>Total advisors</s:t>
        </s:is>
      </s:c>
      <s:c r="B20" s="36">
        <s:f>'Monthly Cash Flow'!T13</s:f>
        <s:v>924</s:v>
      </s:c>
    </s:row>
    <s:row r="21">
      <s:c r="A21" s="35" t="inlineStr">
        <s:is>
          <s:t>MRR</s:t>
        </s:is>
      </s:c>
      <s:c r="B21" s="37">
        <s:f>'Monthly Cash Flow'!T16</s:f>
        <s:v>455076</s:v>
      </s:c>
    </s:row>
    <s:row r="22">
      <s:c r="A22" s="35" t="inlineStr">
        <s:is>
          <s:t>ARR (MRR x 12)</s:t>
        </s:is>
      </s:c>
      <s:c r="B22" s="37">
        <s:f>'Monthly Cash Flow'!T65</s:f>
        <s:v>5460912</s:v>
      </s:c>
    </s:row>
    <s:row r="23">
      <s:c r="A23" s="5" t="inlineStr">
        <s:is>
          <s:t>Cumulative revenue (Mo 0-18)</s:t>
        </s:is>
      </s:c>
      <s:c r="B23" s="31">
        <s:f>'Monthly Cash Flow'!T66</s:f>
        <s:v>2892992</s:v>
      </s:c>
    </s:row>
    <s:row r="24">
      <s:c r="A24" s="5" t="inlineStr">
        <s:is>
          <s:t>Operating EBITDA (Mo 18)</s:t>
        </s:is>
      </s:c>
      <s:c r="B24" s="31">
        <s:f>'Monthly Cash Flow'!T67</s:f>
        <s:v>413413</s:v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T19"/>
  <s:sheetViews>
    <s:sheetView showGridLines="0" workbookViewId="0">
      <s:selection activeCell="A1" sqref="A1"/>
    </s:sheetView>
  </s:sheetViews>
  <s:sheetFormatPr baseColWidth="8" defaultRowHeight="15"/>
  <s:cols>
    <s:col width="40" customWidth="1" min="1" max="1"/>
    <s:col width="14" customWidth="1" min="2" max="2"/>
    <s:col width="40" customWidth="1" min="4" max="4"/>
  </s:cols>
  <s:sheetData>
    <s:row r="1">
      <s:c r="A1" s="1" t="inlineStr">
        <s:is>
          <s:t>ExitBlueprint — SaaS Unit Economics</s:t>
        </s:is>
      </s:c>
      <s:c r="B1" s="2" t="inlineStr"/>
      <s:c r="C1" s="2" t="inlineStr"/>
      <s:c r="D1" s="2" t="inlineStr"/>
      <s:c r="E1" s="2" t="inlineStr"/>
      <s:c r="F1" s="2" t="inlineStr"/>
      <s:c r="G1" s="2" t="inlineStr"/>
      <s:c r="H1" s="2" t="inlineStr"/>
      <s:c r="I1" s="2" t="inlineStr"/>
      <s:c r="J1" s="2" t="inlineStr"/>
      <s:c r="K1" s="2" t="inlineStr"/>
      <s:c r="L1" s="2" t="inlineStr"/>
      <s:c r="M1" s="2" t="inlineStr"/>
      <s:c r="N1" s="2" t="inlineStr"/>
      <s:c r="O1" s="2" t="inlineStr"/>
      <s:c r="P1" s="2" t="inlineStr"/>
      <s:c r="Q1" s="2" t="inlineStr"/>
      <s:c r="R1" s="2" t="inlineStr"/>
      <s:c r="S1" s="2" t="inlineStr"/>
      <s:c r="T1" s="2" t="inlineStr"/>
    </s:row>
    <s:row r="2">
      <s:c r="A2" s="6" t="inlineStr">
        <s:is>
          <s:t>Blended metrics at scale (Mo 18) and key ratios. Pulls from Assumptions + Monthly Cash Flow.</s:t>
        </s:is>
      </s:c>
    </s:row>
    <s:row r="4">
      <s:c r="A4" s="3" t="inlineStr">
        <s:is>
          <s:t>PRICING &amp; RETENTION</s:t>
        </s:is>
      </s:c>
      <s:c r="B4" s="4" t="inlineStr"/>
      <s:c r="C4" s="4" t="inlineStr"/>
      <s:c r="D4" s="4" t="inlineStr"/>
      <s:c r="E4" s="4" t="inlineStr"/>
      <s:c r="F4" s="4" t="inlineStr"/>
    </s:row>
    <s:row r="5">
      <s:c r="A5" s="5" t="inlineStr">
        <s:is>
          <s:t>Blended ARPU (MRR / advisor, Mo 18)</s:t>
        </s:is>
      </s:c>
      <s:c r="B5" s="31">
        <s:f>'Monthly Cash Flow'!T16/'Monthly Cash Flow'!T13</s:f>
        <s:v>492.5064935064935</s:v>
      </s:c>
      <s:c r="D5" s="8" t="inlineStr">
        <s:is>
          <s:t>Mix of founding $199 + standard $499</s:t>
        </s:is>
      </s:c>
    </s:row>
    <s:row r="6">
      <s:c r="A6" s="5" t="inlineStr">
        <s:is>
          <s:t>Gross margin %</s:t>
        </s:is>
      </s:c>
      <s:c r="B6" s="32">
        <s:f>'Monthly Cash Flow'!T24</s:f>
        <s:v>0.9710004482767713</s:v>
      </s:c>
      <s:c r="D6" s="8" t="inlineStr">
        <s:is>
          <s:t>After payment processing</s:t>
        </s:is>
      </s:c>
    </s:row>
    <s:row r="7">
      <s:c r="A7" s="5" t="inlineStr">
        <s:is>
          <s:t>Monthly logo churn</s:t>
        </s:is>
      </s:c>
      <s:c r="B7" s="32">
        <s:f>Assumptions!$B$77</s:f>
        <s:v>0.015</s:v>
      </s:c>
    </s:row>
    <s:row r="8">
      <s:c r="A8" s="5" t="inlineStr">
        <s:is>
          <s:t>Annualized churn</s:t>
        </s:is>
      </s:c>
      <s:c r="B8" s="32">
        <s:f>1-(1-Assumptions!$B$77)^12</s:f>
        <s:v>0.165868031659123</s:v>
      </s:c>
    </s:row>
    <s:row r="9">
      <s:c r="A9" s="5" t="inlineStr">
        <s:is>
          <s:t>Net revenue retention (monthly)</s:t>
        </s:is>
      </s:c>
      <s:c r="B9" s="32">
        <s:f>Assumptions!$B$78</s:f>
        <s:v>1.005</s:v>
      </s:c>
    </s:row>
    <s:row r="10">
      <s:c r="A10" s="3" t="inlineStr">
        <s:is>
          <s:t>ACQUISITION ECONOMICS</s:t>
        </s:is>
      </s:c>
      <s:c r="B10" s="4" t="inlineStr"/>
      <s:c r="C10" s="4" t="inlineStr"/>
      <s:c r="D10" s="4" t="inlineStr"/>
      <s:c r="E10" s="4" t="inlineStr"/>
      <s:c r="F10" s="4" t="inlineStr"/>
    </s:row>
    <s:row r="11">
      <s:c r="A11" s="5" t="inlineStr">
        <s:is>
          <s:t>Blended CAC</s:t>
        </s:is>
      </s:c>
      <s:c r="B11" s="31">
        <s:f>Assumptions!$B$79</s:f>
        <s:v>350</s:v>
      </s:c>
    </s:row>
    <s:row r="12">
      <s:c r="A12" s="5" t="inlineStr">
        <s:is>
          <s:t>Lifetime (months) = 1 / churn</s:t>
        </s:is>
      </s:c>
      <s:c r="B12" s="38">
        <s:f>1/Assumptions!$B$77</s:f>
        <s:v>66.66666666666667</s:v>
      </s:c>
      <s:c r="D12" s="8" t="inlineStr">
        <s:is>
          <s:t>Avg advisor lifespan</s:t>
        </s:is>
      </s:c>
    </s:row>
    <s:row r="13">
      <s:c r="A13" s="5" t="inlineStr">
        <s:is>
          <s:t>LTV = ARPU x GM% / churn</s:t>
        </s:is>
      </s:c>
      <s:c r="B13" s="31">
        <s:f>('Monthly Cash Flow'!T16/'Monthly Cash Flow'!T13)*'Monthly Cash Flow'!T24/Assumptions!$B$77</s:f>
        <s:v>31881.60173160173</s:v>
      </s:c>
    </s:row>
    <s:row r="14">
      <s:c r="A14" s="5" t="inlineStr">
        <s:is>
          <s:t>LTV : CAC</s:t>
        </s:is>
      </s:c>
      <s:c r="B14" s="39">
        <s:f>(('Monthly Cash Flow'!T16/'Monthly Cash Flow'!T13)*'Monthly Cash Flow'!T24/Assumptions!$B$77)/Assumptions!$B$79</s:f>
        <s:v>91.09029066171924</s:v>
      </s:c>
      <s:c r="D14" s="8" t="inlineStr">
        <s:is>
          <s:t>&gt;3x is healthy</s:t>
        </s:is>
      </s:c>
    </s:row>
    <s:row r="15">
      <s:c r="A15" s="5" t="inlineStr">
        <s:is>
          <s:t>CAC payback (months) = CAC / (ARPU x GM%)</s:t>
        </s:is>
      </s:c>
      <s:c r="B15" s="38">
        <s:f>Assumptions!$B$79/(('Monthly Cash Flow'!T16/'Monthly Cash Flow'!T13)*'Monthly Cash Flow'!T24)</s:f>
        <s:v>0.7318745629459649</s:v>
      </s:c>
      <s:c r="D15" s="8" t="inlineStr">
        <s:is>
          <s:t>&lt;12 mo is strong</s:t>
        </s:is>
      </s:c>
    </s:row>
    <s:row r="16">
      <s:c r="A16" s="3" t="inlineStr">
        <s:is>
          <s:t>GROWTH &amp; EFFICIENCY</s:t>
        </s:is>
      </s:c>
      <s:c r="B16" s="4" t="inlineStr"/>
      <s:c r="C16" s="4" t="inlineStr"/>
      <s:c r="D16" s="4" t="inlineStr"/>
      <s:c r="E16" s="4" t="inlineStr"/>
      <s:c r="F16" s="4" t="inlineStr"/>
    </s:row>
    <s:row r="17">
      <s:c r="A17" s="5" t="inlineStr">
        <s:is>
          <s:t>MRR growth, Mo 17 -&gt; Mo 18</s:t>
        </s:is>
      </s:c>
      <s:c r="B17" s="32">
        <s:f>'Monthly Cash Flow'!T16/'Monthly Cash Flow'!S16-1</s:f>
        <s:v>0.12315635674373615</s:v>
      </s:c>
    </s:row>
    <s:row r="18">
      <s:c r="A18" s="5" t="inlineStr">
        <s:is>
          <s:t>ARR at Mo 18</s:t>
        </s:is>
      </s:c>
      <s:c r="B18" s="31">
        <s:f>'Monthly Cash Flow'!T65</s:f>
        <s:v>5460912</s:v>
      </s:c>
    </s:row>
    <s:row r="19">
      <s:c r="A19" s="5" t="inlineStr">
        <s:is>
          <s:t>Rule of 40 (MoM growth% + op margin%)</s:t>
        </s:is>
      </s:c>
      <s:c r="B19" s="32">
        <s:f>('Monthly Cash Flow'!T16/'Monthly Cash Flow'!S16-1)+('Monthly Cash Flow'!T67/'Monthly Cash Flow'!T16)</s:f>
        <s:v>1.0316046159356074</s:v>
      </s:c>
      <s:c r="D19" s="8" t="inlineStr">
        <s:is>
          <s:t>Monthly proxy; &gt;3.3%/mo ~ 40%/yr</s:t>
        </s:is>
      </s:c>
    </s:row>
  </s:sheetData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T40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4" customWidth="1" min="1" max="1"/>
    <s:col width="10" customWidth="1" min="2" max="2"/>
    <s:col width="10" customWidth="1" min="3" max="3"/>
    <s:col width="34" customWidth="1" min="4" max="4"/>
    <s:col width="10" customWidth="1" min="5" max="5"/>
    <s:col width="10" customWidth="1" min="6" max="6"/>
    <s:col width="10" customWidth="1" min="7" max="7"/>
    <s:col width="10" customWidth="1" min="8" max="8"/>
    <s:col width="10" customWidth="1" min="9" max="9"/>
    <s:col width="10" customWidth="1" min="10" max="10"/>
    <s:col width="10" customWidth="1" min="11" max="11"/>
    <s:col width="10" customWidth="1" min="12" max="12"/>
    <s:col width="10" customWidth="1" min="13" max="13"/>
    <s:col width="10" customWidth="1" min="14" max="14"/>
    <s:col width="10" customWidth="1" min="15" max="15"/>
    <s:col width="10" customWidth="1" min="16" max="16"/>
    <s:col width="10" customWidth="1" min="17" max="17"/>
    <s:col width="10" customWidth="1" min="18" max="18"/>
    <s:col width="10" customWidth="1" min="19" max="19"/>
    <s:col width="10" customWidth="1" min="20" max="20"/>
  </s:cols>
  <s:sheetData>
    <s:row r="1">
      <s:c r="A1" s="1" t="inlineStr">
        <s:is>
          <s:t>ExitBlueprint — Downside: Slow GTM (ramp +2 mo, adds haircut)</s:t>
        </s:is>
      </s:c>
      <s:c r="B1" s="2" t="inlineStr"/>
      <s:c r="C1" s="2" t="inlineStr"/>
      <s:c r="D1" s="2" t="inlineStr"/>
      <s:c r="E1" s="2" t="inlineStr"/>
      <s:c r="F1" s="2" t="inlineStr"/>
      <s:c r="G1" s="2" t="inlineStr"/>
      <s:c r="H1" s="2" t="inlineStr"/>
      <s:c r="I1" s="2" t="inlineStr"/>
      <s:c r="J1" s="2" t="inlineStr"/>
      <s:c r="K1" s="2" t="inlineStr"/>
      <s:c r="L1" s="2" t="inlineStr"/>
      <s:c r="M1" s="2" t="inlineStr"/>
      <s:c r="N1" s="2" t="inlineStr"/>
      <s:c r="O1" s="2" t="inlineStr"/>
      <s:c r="P1" s="2" t="inlineStr"/>
      <s:c r="Q1" s="2" t="inlineStr"/>
      <s:c r="R1" s="2" t="inlineStr"/>
      <s:c r="S1" s="2" t="inlineStr"/>
      <s:c r="T1" s="2" t="inlineStr"/>
    </s:row>
    <s:row r="2" ht="26" customHeight="1">
      <s:c r="A2" s="40" t="inlineStr">
        <s:is>
          <s:t>Same cost engine as base. Revenue ramp shifted +2 months and standard adds scaled by the haircut. No debt sweep here — we hold Joe's cash to see if it lasts.</s:t>
        </s:is>
      </s:c>
    </s:row>
    <s:row r="3">
      <s:c r="A3" s="15" t="inlineStr">
        <s:is>
          <s:t>Line Item</s:t>
        </s:is>
      </s:c>
      <s:c r="B3" s="16" t="inlineStr">
        <s:is>
          <s:t>Mo 0</s:t>
        </s:is>
      </s:c>
      <s:c r="C3" s="16" t="inlineStr">
        <s:is>
          <s:t>Mo 1</s:t>
        </s:is>
      </s:c>
      <s:c r="D3" s="16" t="inlineStr">
        <s:is>
          <s:t>Mo 2</s:t>
        </s:is>
      </s:c>
      <s:c r="E3" s="16" t="inlineStr">
        <s:is>
          <s:t>Mo 3</s:t>
        </s:is>
      </s:c>
      <s:c r="F3" s="16" t="inlineStr">
        <s:is>
          <s:t>Mo 4</s:t>
        </s:is>
      </s:c>
      <s:c r="G3" s="16" t="inlineStr">
        <s:is>
          <s:t>Mo 5</s:t>
        </s:is>
      </s:c>
      <s:c r="H3" s="16" t="inlineStr">
        <s:is>
          <s:t>Mo 6</s:t>
        </s:is>
      </s:c>
      <s:c r="I3" s="16" t="inlineStr">
        <s:is>
          <s:t>Mo 7</s:t>
        </s:is>
      </s:c>
      <s:c r="J3" s="16" t="inlineStr">
        <s:is>
          <s:t>Mo 8</s:t>
        </s:is>
      </s:c>
      <s:c r="K3" s="16" t="inlineStr">
        <s:is>
          <s:t>Mo 9</s:t>
        </s:is>
      </s:c>
      <s:c r="L3" s="16" t="inlineStr">
        <s:is>
          <s:t>Mo 10</s:t>
        </s:is>
      </s:c>
      <s:c r="M3" s="16" t="inlineStr">
        <s:is>
          <s:t>Mo 11</s:t>
        </s:is>
      </s:c>
      <s:c r="N3" s="16" t="inlineStr">
        <s:is>
          <s:t>Mo 12</s:t>
        </s:is>
      </s:c>
      <s:c r="O3" s="16" t="inlineStr">
        <s:is>
          <s:t>Mo 13</s:t>
        </s:is>
      </s:c>
      <s:c r="P3" s="16" t="inlineStr">
        <s:is>
          <s:t>Mo 14</s:t>
        </s:is>
      </s:c>
      <s:c r="Q3" s="16" t="inlineStr">
        <s:is>
          <s:t>Mo 15</s:t>
        </s:is>
      </s:c>
      <s:c r="R3" s="16" t="inlineStr">
        <s:is>
          <s:t>Mo 16</s:t>
        </s:is>
      </s:c>
      <s:c r="S3" s="16" t="inlineStr">
        <s:is>
          <s:t>Mo 17</s:t>
        </s:is>
      </s:c>
      <s:c r="T3" s="17" t="inlineStr">
        <s:is>
          <s:t>Mo 18</s:t>
        </s:is>
      </s:c>
    </s:row>
    <s:row r="4">
      <s:c r="A4" s="18" t="inlineStr">
        <s:is>
          <s:t>Calendar</s:t>
        </s:is>
      </s:c>
      <s:c r="B4" s="19" t="inlineStr">
        <s:is>
          <s:t>Aug-26</s:t>
        </s:is>
      </s:c>
      <s:c r="C4" s="19" t="inlineStr">
        <s:is>
          <s:t>Sep-26</s:t>
        </s:is>
      </s:c>
      <s:c r="D4" s="19" t="inlineStr">
        <s:is>
          <s:t>Oct-26</s:t>
        </s:is>
      </s:c>
      <s:c r="E4" s="19" t="inlineStr">
        <s:is>
          <s:t>Nov-26</s:t>
        </s:is>
      </s:c>
      <s:c r="F4" s="19" t="inlineStr">
        <s:is>
          <s:t>Dec-26</s:t>
        </s:is>
      </s:c>
      <s:c r="G4" s="19" t="inlineStr">
        <s:is>
          <s:t>Jan-27</s:t>
        </s:is>
      </s:c>
      <s:c r="H4" s="19" t="inlineStr">
        <s:is>
          <s:t>Feb-27</s:t>
        </s:is>
      </s:c>
      <s:c r="I4" s="19" t="inlineStr">
        <s:is>
          <s:t>Mar-27</s:t>
        </s:is>
      </s:c>
      <s:c r="J4" s="19" t="inlineStr">
        <s:is>
          <s:t>Apr-27</s:t>
        </s:is>
      </s:c>
      <s:c r="K4" s="19" t="inlineStr">
        <s:is>
          <s:t>May-27</s:t>
        </s:is>
      </s:c>
      <s:c r="L4" s="19" t="inlineStr">
        <s:is>
          <s:t>Jun-27</s:t>
        </s:is>
      </s:c>
      <s:c r="M4" s="19" t="inlineStr">
        <s:is>
          <s:t>Jul-27</s:t>
        </s:is>
      </s:c>
      <s:c r="N4" s="19" t="inlineStr">
        <s:is>
          <s:t>Aug-27</s:t>
        </s:is>
      </s:c>
      <s:c r="O4" s="19" t="inlineStr">
        <s:is>
          <s:t>Sep-27</s:t>
        </s:is>
      </s:c>
      <s:c r="P4" s="19" t="inlineStr">
        <s:is>
          <s:t>Oct-27</s:t>
        </s:is>
      </s:c>
      <s:c r="Q4" s="19" t="inlineStr">
        <s:is>
          <s:t>Nov-27</s:t>
        </s:is>
      </s:c>
      <s:c r="R4" s="19" t="inlineStr">
        <s:is>
          <s:t>Dec-27</s:t>
        </s:is>
      </s:c>
      <s:c r="S4" s="19" t="inlineStr">
        <s:is>
          <s:t>Jan-28</s:t>
        </s:is>
      </s:c>
      <s:c r="T4" s="20" t="inlineStr">
        <s:is>
          <s:t>Feb-28</s:t>
        </s:is>
      </s:c>
    </s:row>
    <s:row r="5">
      <s:c r="A5" s="3" t="inlineStr">
        <s:is>
          <s:t>SCENARIO LEVER</s:t>
        </s:is>
      </s:c>
      <s:c r="B5" s="4" t="inlineStr"/>
      <s:c r="C5" s="4" t="inlineStr"/>
      <s:c r="D5" s="4" t="inlineStr"/>
      <s:c r="E5" s="4" t="inlineStr"/>
      <s:c r="F5" s="4" t="inlineStr"/>
      <s:c r="G5" s="4" t="inlineStr"/>
      <s:c r="H5" s="4" t="inlineStr"/>
      <s:c r="I5" s="4" t="inlineStr"/>
      <s:c r="J5" s="4" t="inlineStr"/>
      <s:c r="K5" s="4" t="inlineStr"/>
      <s:c r="L5" s="4" t="inlineStr"/>
      <s:c r="M5" s="4" t="inlineStr"/>
      <s:c r="N5" s="4" t="inlineStr"/>
      <s:c r="O5" s="4" t="inlineStr"/>
      <s:c r="P5" s="4" t="inlineStr"/>
      <s:c r="Q5" s="4" t="inlineStr"/>
      <s:c r="R5" s="4" t="inlineStr"/>
      <s:c r="S5" s="4" t="inlineStr"/>
      <s:c r="T5" s="4" t="inlineStr"/>
    </s:row>
    <s:row r="6">
      <s:c r="A6" s="5" t="inlineStr">
        <s:is>
          <s:t>Standard-adds haircut (x base ramp)</s:t>
        </s:is>
      </s:c>
      <s:c r="B6" s="41" t="n">
        <s:v>0.6</s:v>
      </s:c>
      <s:c r="C6" s="8" t="inlineStr">
        <s:is>
          <s:t>Blue lever: 1.0 = base ramp; 0.6 = 40% slower adds</s:t>
        </s:is>
      </s:c>
    </s:row>
    <s:row r="7">
      <s:c r="A7" s="5" t="inlineStr">
        <s:is>
          <s:t>GTM slip baked into formulas</s:t>
        </s:is>
      </s:c>
      <s:c r="B7" s="42" t="inlineStr">
        <s:is>
          <s:t>+2 months</s:t>
        </s:is>
      </s:c>
      <s:c r="C7" s="8" t="inlineStr">
        <s:is>
          <s:t>Founding &amp; standard adds shifted 2 months later than base</s:t>
        </s:is>
      </s:c>
    </s:row>
    <s:row r="8">
      <s:c r="A8" s="5" t="inlineStr">
        <s:is>
          <s:t>Founding Advisors (count)</s:t>
        </s:is>
      </s:c>
      <s:c r="B8" s="26">
        <s:f>0</s:f>
        <s:v>0</s:v>
      </s:c>
      <s:c r="C8" s="26">
        <s:f>0</s:f>
        <s:v>0</s:v>
      </s:c>
      <s:c r="D8" s="26">
        <s:f>0</s:f>
        <s:v>0</s:v>
      </s:c>
      <s:c r="E8" s="27">
        <s:f>Assumptions!$B$56</s:f>
        <s:v>10</s:v>
      </s:c>
      <s:c r="F8" s="27">
        <s:f>E8+Assumptions!$B$57</s:f>
        <s:v>20</s:v>
      </s:c>
      <s:c r="G8" s="26">
        <s:f>F8</s:f>
        <s:v>20</s:v>
      </s:c>
      <s:c r="H8" s="26">
        <s:f>G8</s:f>
        <s:v>20</s:v>
      </s:c>
      <s:c r="I8" s="26">
        <s:f>H8</s:f>
        <s:v>20</s:v>
      </s:c>
      <s:c r="J8" s="26">
        <s:f>I8</s:f>
        <s:v>20</s:v>
      </s:c>
      <s:c r="K8" s="26">
        <s:f>J8</s:f>
        <s:v>20</s:v>
      </s:c>
      <s:c r="L8" s="26">
        <s:f>K8</s:f>
        <s:v>20</s:v>
      </s:c>
      <s:c r="M8" s="26">
        <s:f>L8</s:f>
        <s:v>20</s:v>
      </s:c>
      <s:c r="N8" s="26">
        <s:f>M8</s:f>
        <s:v>20</s:v>
      </s:c>
      <s:c r="O8" s="26">
        <s:f>N8</s:f>
        <s:v>20</s:v>
      </s:c>
      <s:c r="P8" s="26">
        <s:f>O8</s:f>
        <s:v>20</s:v>
      </s:c>
      <s:c r="Q8" s="26">
        <s:f>P8</s:f>
        <s:v>20</s:v>
      </s:c>
      <s:c r="R8" s="26">
        <s:f>Q8</s:f>
        <s:v>20</s:v>
      </s:c>
      <s:c r="S8" s="26">
        <s:f>R8</s:f>
        <s:v>20</s:v>
      </s:c>
      <s:c r="T8" s="26">
        <s:f>S8</s:f>
        <s:v>20</s:v>
      </s:c>
    </s:row>
    <s:row r="9">
      <s:c r="A9" s="5" t="inlineStr">
        <s:is>
          <s:t>Standard — New Adds (haircut)</s:t>
        </s:is>
      </s:c>
      <s:c r="B9" s="26">
        <s:f>0</s:f>
        <s:v>0</s:v>
      </s:c>
      <s:c r="C9" s="26">
        <s:f>0</s:f>
        <s:v>0</s:v>
      </s:c>
      <s:c r="D9" s="26">
        <s:f>0</s:f>
        <s:v>0</s:v>
      </s:c>
      <s:c r="E9" s="26">
        <s:f>0</s:f>
        <s:v>0</s:v>
      </s:c>
      <s:c r="F9" s="26">
        <s:f>0</s:f>
        <s:v>0</s:v>
      </s:c>
      <s:c r="G9" s="27">
        <s:f>ROUND(Assumptions!$B$59*$B$6,0)</s:f>
        <s:v>6</s:v>
      </s:c>
      <s:c r="H9" s="27">
        <s:f>ROUND(Assumptions!$B$60*$B$6,0)</s:f>
        <s:v>10</s:v>
      </s:c>
      <s:c r="I9" s="27">
        <s:f>ROUND(Assumptions!$B$61*$B$6,0)</s:f>
        <s:v>14</s:v>
      </s:c>
      <s:c r="J9" s="27">
        <s:f>ROUND(Assumptions!$B$62*$B$6,0)</s:f>
        <s:v>18</s:v>
      </s:c>
      <s:c r="K9" s="27">
        <s:f>ROUND(Assumptions!$B$63*$B$6,0)</s:f>
        <s:v>22</s:v>
      </s:c>
      <s:c r="L9" s="27">
        <s:f>ROUND(Assumptions!$B$64*$B$6,0)</s:f>
        <s:v>26</s:v>
      </s:c>
      <s:c r="M9" s="27">
        <s:f>ROUND(Assumptions!$B$65*$B$6,0)</s:f>
        <s:v>31</s:v>
      </s:c>
      <s:c r="N9" s="27">
        <s:f>ROUND(Assumptions!$B$66*$B$6,0)</s:f>
        <s:v>35</s:v>
      </s:c>
      <s:c r="O9" s="27">
        <s:f>ROUND(Assumptions!$B$67*$B$6,0)</s:f>
        <s:v>38</s:v>
      </s:c>
      <s:c r="P9" s="27">
        <s:f>ROUND(Assumptions!$B$68*$B$6,0)</s:f>
        <s:v>43</s:v>
      </s:c>
      <s:c r="Q9" s="27">
        <s:f>ROUND(Assumptions!$B$69*$B$6,0)</s:f>
        <s:v>47</s:v>
      </s:c>
      <s:c r="R9" s="27">
        <s:f>ROUND(Assumptions!$B$70*$B$6,0)</s:f>
        <s:v>51</s:v>
      </s:c>
      <s:c r="S9" s="27">
        <s:f>ROUND(Assumptions!$B$71*$B$6,0)</s:f>
        <s:v>55</s:v>
      </s:c>
      <s:c r="T9" s="27">
        <s:f>ROUND(Assumptions!$B$72*$B$6,0)</s:f>
        <s:v>59</s:v>
      </s:c>
    </s:row>
    <s:row r="10">
      <s:c r="A10" s="5" t="inlineStr">
        <s:is>
          <s:t>Standard — Churned</s:t>
        </s:is>
      </s:c>
      <s:c r="B10" s="26">
        <s:f>0</s:f>
        <s:v>0</s:v>
      </s:c>
      <s:c r="C10" s="26">
        <s:f>0</s:f>
        <s:v>0</s:v>
      </s:c>
      <s:c r="D10" s="26">
        <s:f>0</s:f>
        <s:v>0</s:v>
      </s:c>
      <s:c r="E10" s="26">
        <s:f>0</s:f>
        <s:v>0</s:v>
      </s:c>
      <s:c r="F10" s="26">
        <s:f>0</s:f>
        <s:v>0</s:v>
      </s:c>
      <s:c r="G10" s="26">
        <s:f>0</s:f>
        <s:v>0</s:v>
      </s:c>
      <s:c r="H10" s="26">
        <s:f>ROUND(G11*Assumptions!$B$77,0)</s:f>
        <s:v>0</s:v>
      </s:c>
      <s:c r="I10" s="26">
        <s:f>ROUND(H11*Assumptions!$B$77,0)</s:f>
        <s:v>0</s:v>
      </s:c>
      <s:c r="J10" s="26">
        <s:f>ROUND(I11*Assumptions!$B$77,0)</s:f>
        <s:v>0</s:v>
      </s:c>
      <s:c r="K10" s="26">
        <s:f>ROUND(J11*Assumptions!$B$77,0)</s:f>
        <s:v>1</s:v>
      </s:c>
      <s:c r="L10" s="26">
        <s:f>ROUND(K11*Assumptions!$B$77,0)</s:f>
        <s:v>1</s:v>
      </s:c>
      <s:c r="M10" s="26">
        <s:f>ROUND(L11*Assumptions!$B$77,0)</s:f>
        <s:v>1</s:v>
      </s:c>
      <s:c r="N10" s="26">
        <s:f>ROUND(M11*Assumptions!$B$77,0)</s:f>
        <s:v>2</s:v>
      </s:c>
      <s:c r="O10" s="26">
        <s:f>ROUND(N11*Assumptions!$B$77,0)</s:f>
        <s:v>2</s:v>
      </s:c>
      <s:c r="P10" s="26">
        <s:f>ROUND(O11*Assumptions!$B$77,0)</s:f>
        <s:v>3</s:v>
      </s:c>
      <s:c r="Q10" s="26">
        <s:f>ROUND(P11*Assumptions!$B$77,0)</s:f>
        <s:v>3</s:v>
      </s:c>
      <s:c r="R10" s="26">
        <s:f>ROUND(Q11*Assumptions!$B$77,0)</s:f>
        <s:v>4</s:v>
      </s:c>
      <s:c r="S10" s="26">
        <s:f>ROUND(R11*Assumptions!$B$77,0)</s:f>
        <s:v>5</s:v>
      </s:c>
      <s:c r="T10" s="26">
        <s:f>ROUND(S11*Assumptions!$B$77,0)</s:f>
        <s:v>6</s:v>
      </s:c>
    </s:row>
    <s:row r="11">
      <s:c r="A11" s="5" t="inlineStr">
        <s:is>
          <s:t>Standard Advisors (count)</s:t>
        </s:is>
      </s:c>
      <s:c r="B11" s="26">
        <s:f>0</s:f>
        <s:v>0</s:v>
      </s:c>
      <s:c r="C11" s="26">
        <s:f>0</s:f>
        <s:v>0</s:v>
      </s:c>
      <s:c r="D11" s="26">
        <s:f>0</s:f>
        <s:v>0</s:v>
      </s:c>
      <s:c r="E11" s="26">
        <s:f>0</s:f>
        <s:v>0</s:v>
      </s:c>
      <s:c r="F11" s="26">
        <s:f>0</s:f>
        <s:v>0</s:v>
      </s:c>
      <s:c r="G11" s="26">
        <s:f>G9</s:f>
        <s:v>6</s:v>
      </s:c>
      <s:c r="H11" s="26">
        <s:f>G11+H9-H10</s:f>
        <s:v>16</s:v>
      </s:c>
      <s:c r="I11" s="26">
        <s:f>H11+I9-I10</s:f>
        <s:v>30</s:v>
      </s:c>
      <s:c r="J11" s="26">
        <s:f>I11+J9-J10</s:f>
        <s:v>48</s:v>
      </s:c>
      <s:c r="K11" s="26">
        <s:f>J11+K9-K10</s:f>
        <s:v>69</s:v>
      </s:c>
      <s:c r="L11" s="26">
        <s:f>K11+L9-L10</s:f>
        <s:v>94</s:v>
      </s:c>
      <s:c r="M11" s="26">
        <s:f>L11+M9-M10</s:f>
        <s:v>124</s:v>
      </s:c>
      <s:c r="N11" s="26">
        <s:f>M11+N9-N10</s:f>
        <s:v>157</s:v>
      </s:c>
      <s:c r="O11" s="26">
        <s:f>N11+O9-O10</s:f>
        <s:v>193</s:v>
      </s:c>
      <s:c r="P11" s="26">
        <s:f>O11+P9-P10</s:f>
        <s:v>233</s:v>
      </s:c>
      <s:c r="Q11" s="26">
        <s:f>P11+Q9-Q10</s:f>
        <s:v>277</s:v>
      </s:c>
      <s:c r="R11" s="26">
        <s:f>Q11+R9-R10</s:f>
        <s:v>324</s:v>
      </s:c>
      <s:c r="S11" s="26">
        <s:f>R11+S9-S10</s:f>
        <s:v>374</s:v>
      </s:c>
      <s:c r="T11" s="26">
        <s:f>S11+T9-T10</s:f>
        <s:v>427</s:v>
      </s:c>
    </s:row>
    <s:row r="12">
      <s:c r="A12" s="5" t="inlineStr">
        <s:is>
          <s:t>Total Advisors</s:t>
        </s:is>
      </s:c>
      <s:c r="B12" s="28">
        <s:f>B8+B11</s:f>
        <s:v>0</s:v>
      </s:c>
      <s:c r="C12" s="28">
        <s:f>C8+C11</s:f>
        <s:v>0</s:v>
      </s:c>
      <s:c r="D12" s="28">
        <s:f>D8+D11</s:f>
        <s:v>0</s:v>
      </s:c>
      <s:c r="E12" s="28">
        <s:f>E8+E11</s:f>
        <s:v>10</s:v>
      </s:c>
      <s:c r="F12" s="28">
        <s:f>F8+F11</s:f>
        <s:v>20</s:v>
      </s:c>
      <s:c r="G12" s="28">
        <s:f>G8+G11</s:f>
        <s:v>26</s:v>
      </s:c>
      <s:c r="H12" s="28">
        <s:f>H8+H11</s:f>
        <s:v>36</s:v>
      </s:c>
      <s:c r="I12" s="28">
        <s:f>I8+I11</s:f>
        <s:v>50</s:v>
      </s:c>
      <s:c r="J12" s="28">
        <s:f>J8+J11</s:f>
        <s:v>68</s:v>
      </s:c>
      <s:c r="K12" s="28">
        <s:f>K8+K11</s:f>
        <s:v>89</s:v>
      </s:c>
      <s:c r="L12" s="28">
        <s:f>L8+L11</s:f>
        <s:v>114</s:v>
      </s:c>
      <s:c r="M12" s="28">
        <s:f>M8+M11</s:f>
        <s:v>144</s:v>
      </s:c>
      <s:c r="N12" s="28">
        <s:f>N8+N11</s:f>
        <s:v>177</s:v>
      </s:c>
      <s:c r="O12" s="28">
        <s:f>O8+O11</s:f>
        <s:v>213</s:v>
      </s:c>
      <s:c r="P12" s="28">
        <s:f>P8+P11</s:f>
        <s:v>253</s:v>
      </s:c>
      <s:c r="Q12" s="28">
        <s:f>Q8+Q11</s:f>
        <s:v>297</s:v>
      </s:c>
      <s:c r="R12" s="28">
        <s:f>R8+R11</s:f>
        <s:v>344</s:v>
      </s:c>
      <s:c r="S12" s="28">
        <s:f>S8+S11</s:f>
        <s:v>394</s:v>
      </s:c>
      <s:c r="T12" s="28">
        <s:f>T8+T11</s:f>
        <s:v>447</s:v>
      </s:c>
    </s:row>
    <s:row r="13">
      <s:c r="A13" s="25" t="inlineStr">
        <s:is>
          <s:t>TOTAL MRR</s:t>
        </s:is>
      </s:c>
      <s:c r="B13" s="22">
        <s:f>B8*Assumptions!$B$54+B11*Assumptions!$B$55</s:f>
        <s:v>0</s:v>
      </s:c>
      <s:c r="C13" s="22">
        <s:f>C8*Assumptions!$B$54+C11*Assumptions!$B$55</s:f>
        <s:v>0</s:v>
      </s:c>
      <s:c r="D13" s="22">
        <s:f>D8*Assumptions!$B$54+D11*Assumptions!$B$55</s:f>
        <s:v>0</s:v>
      </s:c>
      <s:c r="E13" s="22">
        <s:f>E8*Assumptions!$B$54+E11*Assumptions!$B$55</s:f>
        <s:v>1990</s:v>
      </s:c>
      <s:c r="F13" s="22">
        <s:f>F8*Assumptions!$B$54+F11*Assumptions!$B$55</s:f>
        <s:v>3980</s:v>
      </s:c>
      <s:c r="G13" s="22">
        <s:f>G8*Assumptions!$B$54+G11*Assumptions!$B$55</s:f>
        <s:v>6974</s:v>
      </s:c>
      <s:c r="H13" s="22">
        <s:f>H8*Assumptions!$B$54+H11*Assumptions!$B$55</s:f>
        <s:v>11964</s:v>
      </s:c>
      <s:c r="I13" s="22">
        <s:f>I8*Assumptions!$B$54+I11*Assumptions!$B$55</s:f>
        <s:v>18950</s:v>
      </s:c>
      <s:c r="J13" s="22">
        <s:f>J8*Assumptions!$B$54+J11*Assumptions!$B$55</s:f>
        <s:v>27932</s:v>
      </s:c>
      <s:c r="K13" s="22">
        <s:f>K8*Assumptions!$B$54+K11*Assumptions!$B$55</s:f>
        <s:v>38411</s:v>
      </s:c>
      <s:c r="L13" s="22">
        <s:f>L8*Assumptions!$B$54+L11*Assumptions!$B$55</s:f>
        <s:v>50886</s:v>
      </s:c>
      <s:c r="M13" s="22">
        <s:f>M8*Assumptions!$B$54+M11*Assumptions!$B$55</s:f>
        <s:v>65856</s:v>
      </s:c>
      <s:c r="N13" s="22">
        <s:f>N8*Assumptions!$B$54+N11*Assumptions!$B$55</s:f>
        <s:v>82323</s:v>
      </s:c>
      <s:c r="O13" s="22">
        <s:f>O8*Assumptions!$B$54+O11*Assumptions!$B$55</s:f>
        <s:v>100287</s:v>
      </s:c>
      <s:c r="P13" s="22">
        <s:f>P8*Assumptions!$B$54+P11*Assumptions!$B$55</s:f>
        <s:v>120247</s:v>
      </s:c>
      <s:c r="Q13" s="22">
        <s:f>Q8*Assumptions!$B$54+Q11*Assumptions!$B$55</s:f>
        <s:v>142203</s:v>
      </s:c>
      <s:c r="R13" s="22">
        <s:f>R8*Assumptions!$B$54+R11*Assumptions!$B$55</s:f>
        <s:v>165656</s:v>
      </s:c>
      <s:c r="S13" s="22">
        <s:f>S8*Assumptions!$B$54+S11*Assumptions!$B$55</s:f>
        <s:v>190606</s:v>
      </s:c>
      <s:c r="T13" s="22">
        <s:f>T8*Assumptions!$B$54+T11*Assumptions!$B$55</s:f>
        <s:v>217053</s:v>
      </s:c>
    </s:row>
    <s:row r="14">
      <s:c r="A14" s="3" t="inlineStr">
        <s:is>
          <s:t>COSTS (same engine as base)</s:t>
        </s:is>
      </s:c>
      <s:c r="B14" s="4" t="inlineStr"/>
      <s:c r="C14" s="4" t="inlineStr"/>
      <s:c r="D14" s="4" t="inlineStr"/>
      <s:c r="E14" s="4" t="inlineStr"/>
      <s:c r="F14" s="4" t="inlineStr"/>
      <s:c r="G14" s="4" t="inlineStr"/>
      <s:c r="H14" s="4" t="inlineStr"/>
      <s:c r="I14" s="4" t="inlineStr"/>
      <s:c r="J14" s="4" t="inlineStr"/>
      <s:c r="K14" s="4" t="inlineStr"/>
      <s:c r="L14" s="4" t="inlineStr"/>
      <s:c r="M14" s="4" t="inlineStr"/>
      <s:c r="N14" s="4" t="inlineStr"/>
      <s:c r="O14" s="4" t="inlineStr"/>
      <s:c r="P14" s="4" t="inlineStr"/>
      <s:c r="Q14" s="4" t="inlineStr"/>
      <s:c r="R14" s="4" t="inlineStr"/>
      <s:c r="S14" s="4" t="inlineStr"/>
      <s:c r="T14" s="4" t="inlineStr"/>
    </s:row>
    <s:row r="15">
      <s:c r="A15" s="5" t="inlineStr">
        <s:is>
          <s:t>Payment Processing</s:t>
        </s:is>
      </s:c>
      <s:c r="B15" s="21">
        <s:f>ROUND(B13*Assumptions!$B$51,0)</s:f>
        <s:v>0</s:v>
      </s:c>
      <s:c r="C15" s="21">
        <s:f>ROUND(C13*Assumptions!$B$51,0)</s:f>
        <s:v>0</s:v>
      </s:c>
      <s:c r="D15" s="21">
        <s:f>ROUND(D13*Assumptions!$B$51,0)</s:f>
        <s:v>0</s:v>
      </s:c>
      <s:c r="E15" s="21">
        <s:f>ROUND(E13*Assumptions!$B$51,0)</s:f>
        <s:v>58</s:v>
      </s:c>
      <s:c r="F15" s="21">
        <s:f>ROUND(F13*Assumptions!$B$51,0)</s:f>
        <s:v>115</s:v>
      </s:c>
      <s:c r="G15" s="21">
        <s:f>ROUND(G13*Assumptions!$B$51,0)</s:f>
        <s:v>202</s:v>
      </s:c>
      <s:c r="H15" s="21">
        <s:f>ROUND(H13*Assumptions!$B$51,0)</s:f>
        <s:v>347</s:v>
      </s:c>
      <s:c r="I15" s="21">
        <s:f>ROUND(I13*Assumptions!$B$51,0)</s:f>
        <s:v>550</s:v>
      </s:c>
      <s:c r="J15" s="21">
        <s:f>ROUND(J13*Assumptions!$B$51,0)</s:f>
        <s:v>810</s:v>
      </s:c>
      <s:c r="K15" s="21">
        <s:f>ROUND(K13*Assumptions!$B$51,0)</s:f>
        <s:v>1114</s:v>
      </s:c>
      <s:c r="L15" s="21">
        <s:f>ROUND(L13*Assumptions!$B$51,0)</s:f>
        <s:v>1476</s:v>
      </s:c>
      <s:c r="M15" s="21">
        <s:f>ROUND(M13*Assumptions!$B$51,0)</s:f>
        <s:v>1910</s:v>
      </s:c>
      <s:c r="N15" s="21">
        <s:f>ROUND(N13*Assumptions!$B$51,0)</s:f>
        <s:v>2387</s:v>
      </s:c>
      <s:c r="O15" s="21">
        <s:f>ROUND(O13*Assumptions!$B$51,0)</s:f>
        <s:v>2908</s:v>
      </s:c>
      <s:c r="P15" s="21">
        <s:f>ROUND(P13*Assumptions!$B$51,0)</s:f>
        <s:v>3487</s:v>
      </s:c>
      <s:c r="Q15" s="21">
        <s:f>ROUND(Q13*Assumptions!$B$51,0)</s:f>
        <s:v>4124</s:v>
      </s:c>
      <s:c r="R15" s="21">
        <s:f>ROUND(R13*Assumptions!$B$51,0)</s:f>
        <s:v>4804</s:v>
      </s:c>
      <s:c r="S15" s="21">
        <s:f>ROUND(S13*Assumptions!$B$51,0)</s:f>
        <s:v>5528</s:v>
      </s:c>
      <s:c r="T15" s="21">
        <s:f>ROUND(T13*Assumptions!$B$51,0)</s:f>
        <s:v>6295</s:v>
      </s:c>
    </s:row>
    <s:row r="16">
      <s:c r="A16" s="5" t="inlineStr">
        <s:is>
          <s:t>Gross Profit</s:t>
        </s:is>
      </s:c>
      <s:c r="B16" s="21">
        <s:f>B13-B15</s:f>
        <s:v>0</s:v>
      </s:c>
      <s:c r="C16" s="21">
        <s:f>C13-C15</s:f>
        <s:v>0</s:v>
      </s:c>
      <s:c r="D16" s="21">
        <s:f>D13-D15</s:f>
        <s:v>0</s:v>
      </s:c>
      <s:c r="E16" s="21">
        <s:f>E13-E15</s:f>
        <s:v>1932</s:v>
      </s:c>
      <s:c r="F16" s="21">
        <s:f>F13-F15</s:f>
        <s:v>3865</s:v>
      </s:c>
      <s:c r="G16" s="21">
        <s:f>G13-G15</s:f>
        <s:v>6772</s:v>
      </s:c>
      <s:c r="H16" s="21">
        <s:f>H13-H15</s:f>
        <s:v>11617</s:v>
      </s:c>
      <s:c r="I16" s="21">
        <s:f>I13-I15</s:f>
        <s:v>18400</s:v>
      </s:c>
      <s:c r="J16" s="21">
        <s:f>J13-J15</s:f>
        <s:v>27122</s:v>
      </s:c>
      <s:c r="K16" s="21">
        <s:f>K13-K15</s:f>
        <s:v>37297</s:v>
      </s:c>
      <s:c r="L16" s="21">
        <s:f>L13-L15</s:f>
        <s:v>49410</s:v>
      </s:c>
      <s:c r="M16" s="21">
        <s:f>M13-M15</s:f>
        <s:v>63946</s:v>
      </s:c>
      <s:c r="N16" s="21">
        <s:f>N13-N15</s:f>
        <s:v>79936</s:v>
      </s:c>
      <s:c r="O16" s="21">
        <s:f>O13-O15</s:f>
        <s:v>97379</s:v>
      </s:c>
      <s:c r="P16" s="21">
        <s:f>P13-P15</s:f>
        <s:v>116760</s:v>
      </s:c>
      <s:c r="Q16" s="21">
        <s:f>Q13-Q15</s:f>
        <s:v>138079</s:v>
      </s:c>
      <s:c r="R16" s="21">
        <s:f>R13-R15</s:f>
        <s:v>160852</s:v>
      </s:c>
      <s:c r="S16" s="21">
        <s:f>S13-S15</s:f>
        <s:v>185078</s:v>
      </s:c>
      <s:c r="T16" s="21">
        <s:f>T13-T15</s:f>
        <s:v>210758</s:v>
      </s:c>
    </s:row>
    <s:row r="17">
      <s:c r="A17" s="5" t="inlineStr">
        <s:is>
          <s:t>Founder Draw (gated)</s:t>
        </s:is>
      </s:c>
      <s:c r="B17" s="21">
        <s:f>IF(B16&gt;=Assumptions!$B$11,Assumptions!$B$11,0)</s:f>
        <s:v>0</s:v>
      </s:c>
      <s:c r="C17" s="21">
        <s:f>IF(OR(B17&gt;0,C16&gt;=Assumptions!$B$11),Assumptions!$B$11,0)</s:f>
        <s:v>0</s:v>
      </s:c>
      <s:c r="D17" s="21">
        <s:f>IF(OR(C17&gt;0,D16&gt;=Assumptions!$B$11),Assumptions!$B$11,0)</s:f>
        <s:v>0</s:v>
      </s:c>
      <s:c r="E17" s="21">
        <s:f>IF(OR(D17&gt;0,E16&gt;=Assumptions!$B$11),Assumptions!$B$11,0)</s:f>
        <s:v>0</s:v>
      </s:c>
      <s:c r="F17" s="21">
        <s:f>IF(OR(E17&gt;0,F16&gt;=Assumptions!$B$11),Assumptions!$B$11,0)</s:f>
        <s:v>0</s:v>
      </s:c>
      <s:c r="G17" s="21">
        <s:f>IF(OR(F17&gt;0,G16&gt;=Assumptions!$B$11),Assumptions!$B$11,0)</s:f>
        <s:v>5000</s:v>
      </s:c>
      <s:c r="H17" s="21">
        <s:f>IF(OR(G17&gt;0,H16&gt;=Assumptions!$B$11),Assumptions!$B$11,0)</s:f>
        <s:v>5000</s:v>
      </s:c>
      <s:c r="I17" s="21">
        <s:f>IF(OR(H17&gt;0,I16&gt;=Assumptions!$B$11),Assumptions!$B$11,0)</s:f>
        <s:v>5000</s:v>
      </s:c>
      <s:c r="J17" s="21">
        <s:f>IF(OR(I17&gt;0,J16&gt;=Assumptions!$B$11),Assumptions!$B$11,0)</s:f>
        <s:v>5000</s:v>
      </s:c>
      <s:c r="K17" s="21">
        <s:f>IF(OR(J17&gt;0,K16&gt;=Assumptions!$B$11),Assumptions!$B$11,0)</s:f>
        <s:v>5000</s:v>
      </s:c>
      <s:c r="L17" s="21">
        <s:f>IF(OR(K17&gt;0,L16&gt;=Assumptions!$B$11),Assumptions!$B$11,0)</s:f>
        <s:v>5000</s:v>
      </s:c>
      <s:c r="M17" s="21">
        <s:f>IF(OR(L17&gt;0,M16&gt;=Assumptions!$B$11),Assumptions!$B$11,0)</s:f>
        <s:v>5000</s:v>
      </s:c>
      <s:c r="N17" s="21">
        <s:f>IF(OR(M17&gt;0,N16&gt;=Assumptions!$B$11),Assumptions!$B$11,0)</s:f>
        <s:v>5000</s:v>
      </s:c>
      <s:c r="O17" s="21">
        <s:f>IF(OR(N17&gt;0,O16&gt;=Assumptions!$B$11),Assumptions!$B$11,0)</s:f>
        <s:v>5000</s:v>
      </s:c>
      <s:c r="P17" s="21">
        <s:f>IF(OR(O17&gt;0,P16&gt;=Assumptions!$B$11),Assumptions!$B$11,0)</s:f>
        <s:v>5000</s:v>
      </s:c>
      <s:c r="Q17" s="21">
        <s:f>IF(OR(P17&gt;0,Q16&gt;=Assumptions!$B$11),Assumptions!$B$11,0)</s:f>
        <s:v>5000</s:v>
      </s:c>
      <s:c r="R17" s="21">
        <s:f>IF(OR(Q17&gt;0,R16&gt;=Assumptions!$B$11),Assumptions!$B$11,0)</s:f>
        <s:v>5000</s:v>
      </s:c>
      <s:c r="S17" s="21">
        <s:f>IF(OR(R17&gt;0,S16&gt;=Assumptions!$B$11),Assumptions!$B$11,0)</s:f>
        <s:v>5000</s:v>
      </s:c>
      <s:c r="T17" s="21">
        <s:f>IF(OR(S17&gt;0,T16&gt;=Assumptions!$B$11),Assumptions!$B$11,0)</s:f>
        <s:v>5000</s:v>
      </s:c>
    </s:row>
    <s:row r="18">
      <s:c r="A18" s="5" t="inlineStr">
        <s:is>
          <s:t>Fixed Opex (draw+Bloom+SOC2)</s:t>
        </s:is>
      </s:c>
      <s:c r="B18" s="21">
        <s:f>B17+Assumptions!$B$24+Assumptions!$B$25</s:f>
        <s:v>1966</s:v>
      </s:c>
      <s:c r="C18" s="21">
        <s:f>C17+Assumptions!$B$24+Assumptions!$B$25</s:f>
        <s:v>1966</s:v>
      </s:c>
      <s:c r="D18" s="21">
        <s:f>D17+Assumptions!$B$24+Assumptions!$B$25</s:f>
        <s:v>1966</s:v>
      </s:c>
      <s:c r="E18" s="21">
        <s:f>E17+Assumptions!$B$24+Assumptions!$B$25</s:f>
        <s:v>1966</s:v>
      </s:c>
      <s:c r="F18" s="21">
        <s:f>F17+Assumptions!$B$24+Assumptions!$B$25</s:f>
        <s:v>1966</s:v>
      </s:c>
      <s:c r="G18" s="21">
        <s:f>G17+Assumptions!$B$24+Assumptions!$B$25</s:f>
        <s:v>6966</s:v>
      </s:c>
      <s:c r="H18" s="21">
        <s:f>H17+Assumptions!$B$24+Assumptions!$B$25</s:f>
        <s:v>6966</s:v>
      </s:c>
      <s:c r="I18" s="21">
        <s:f>I17+Assumptions!$B$24+Assumptions!$B$25</s:f>
        <s:v>6966</s:v>
      </s:c>
      <s:c r="J18" s="21">
        <s:f>J17+Assumptions!$B$24+Assumptions!$B$25</s:f>
        <s:v>6966</s:v>
      </s:c>
      <s:c r="K18" s="21">
        <s:f>K17+Assumptions!$B$24+Assumptions!$B$25</s:f>
        <s:v>6966</s:v>
      </s:c>
      <s:c r="L18" s="21">
        <s:f>L17+Assumptions!$B$24+Assumptions!$B$25</s:f>
        <s:v>6966</s:v>
      </s:c>
      <s:c r="M18" s="21">
        <s:f>M17+Assumptions!$B$24+Assumptions!$B$25</s:f>
        <s:v>6966</s:v>
      </s:c>
      <s:c r="N18" s="21">
        <s:f>N17+Assumptions!$B$24+Assumptions!$B$25</s:f>
        <s:v>6966</s:v>
      </s:c>
      <s:c r="O18" s="21">
        <s:f>O17+Assumptions!$B$24+Assumptions!$B$25</s:f>
        <s:v>6966</s:v>
      </s:c>
      <s:c r="P18" s="21">
        <s:f>P17+Assumptions!$B$24+Assumptions!$B$25</s:f>
        <s:v>6966</s:v>
      </s:c>
      <s:c r="Q18" s="21">
        <s:f>Q17+Assumptions!$B$24+Assumptions!$B$25</s:f>
        <s:v>6966</s:v>
      </s:c>
      <s:c r="R18" s="21">
        <s:f>R17+Assumptions!$B$24+Assumptions!$B$25</s:f>
        <s:v>6966</s:v>
      </s:c>
      <s:c r="S18" s="21">
        <s:f>S17+Assumptions!$B$24+Assumptions!$B$25</s:f>
        <s:v>6966</s:v>
      </s:c>
      <s:c r="T18" s="21">
        <s:f>T17+Assumptions!$B$24+Assumptions!$B$25</s:f>
        <s:v>6966</s:v>
      </s:c>
    </s:row>
    <s:row r="19">
      <s:c r="A19" s="5" t="inlineStr">
        <s:is>
          <s:t>Hosting (tiered)</s:t>
        </s:is>
      </s:c>
      <s:c r="B19" s="21">
        <s:f>IF(B12&lt;=50,Assumptions!$B$29,IF(B12&lt;=150,Assumptions!$B$30,IF(B12&lt;=500,Assumptions!$B$31,Assumptions!$B$32)))</s:f>
        <s:v>500</s:v>
      </s:c>
      <s:c r="C19" s="21">
        <s:f>IF(C12&lt;=50,Assumptions!$B$29,IF(C12&lt;=150,Assumptions!$B$30,IF(C12&lt;=500,Assumptions!$B$31,Assumptions!$B$32)))</s:f>
        <s:v>500</s:v>
      </s:c>
      <s:c r="D19" s="21">
        <s:f>IF(D12&lt;=50,Assumptions!$B$29,IF(D12&lt;=150,Assumptions!$B$30,IF(D12&lt;=500,Assumptions!$B$31,Assumptions!$B$32)))</s:f>
        <s:v>500</s:v>
      </s:c>
      <s:c r="E19" s="21">
        <s:f>IF(E12&lt;=50,Assumptions!$B$29,IF(E12&lt;=150,Assumptions!$B$30,IF(E12&lt;=500,Assumptions!$B$31,Assumptions!$B$32)))</s:f>
        <s:v>500</s:v>
      </s:c>
      <s:c r="F19" s="21">
        <s:f>IF(F12&lt;=50,Assumptions!$B$29,IF(F12&lt;=150,Assumptions!$B$30,IF(F12&lt;=500,Assumptions!$B$31,Assumptions!$B$32)))</s:f>
        <s:v>500</s:v>
      </s:c>
      <s:c r="G19" s="21">
        <s:f>IF(G12&lt;=50,Assumptions!$B$29,IF(G12&lt;=150,Assumptions!$B$30,IF(G12&lt;=500,Assumptions!$B$31,Assumptions!$B$32)))</s:f>
        <s:v>500</s:v>
      </s:c>
      <s:c r="H19" s="21">
        <s:f>IF(H12&lt;=50,Assumptions!$B$29,IF(H12&lt;=150,Assumptions!$B$30,IF(H12&lt;=500,Assumptions!$B$31,Assumptions!$B$32)))</s:f>
        <s:v>500</s:v>
      </s:c>
      <s:c r="I19" s="21">
        <s:f>IF(I12&lt;=50,Assumptions!$B$29,IF(I12&lt;=150,Assumptions!$B$30,IF(I12&lt;=500,Assumptions!$B$31,Assumptions!$B$32)))</s:f>
        <s:v>500</s:v>
      </s:c>
      <s:c r="J19" s="21">
        <s:f>IF(J12&lt;=50,Assumptions!$B$29,IF(J12&lt;=150,Assumptions!$B$30,IF(J12&lt;=500,Assumptions!$B$31,Assumptions!$B$32)))</s:f>
        <s:v>1500</s:v>
      </s:c>
      <s:c r="K19" s="21">
        <s:f>IF(K12&lt;=50,Assumptions!$B$29,IF(K12&lt;=150,Assumptions!$B$30,IF(K12&lt;=500,Assumptions!$B$31,Assumptions!$B$32)))</s:f>
        <s:v>1500</s:v>
      </s:c>
      <s:c r="L19" s="21">
        <s:f>IF(L12&lt;=50,Assumptions!$B$29,IF(L12&lt;=150,Assumptions!$B$30,IF(L12&lt;=500,Assumptions!$B$31,Assumptions!$B$32)))</s:f>
        <s:v>1500</s:v>
      </s:c>
      <s:c r="M19" s="21">
        <s:f>IF(M12&lt;=50,Assumptions!$B$29,IF(M12&lt;=150,Assumptions!$B$30,IF(M12&lt;=500,Assumptions!$B$31,Assumptions!$B$32)))</s:f>
        <s:v>1500</s:v>
      </s:c>
      <s:c r="N19" s="21">
        <s:f>IF(N12&lt;=50,Assumptions!$B$29,IF(N12&lt;=150,Assumptions!$B$30,IF(N12&lt;=500,Assumptions!$B$31,Assumptions!$B$32)))</s:f>
        <s:v>3000</s:v>
      </s:c>
      <s:c r="O19" s="21">
        <s:f>IF(O12&lt;=50,Assumptions!$B$29,IF(O12&lt;=150,Assumptions!$B$30,IF(O12&lt;=500,Assumptions!$B$31,Assumptions!$B$32)))</s:f>
        <s:v>3000</s:v>
      </s:c>
      <s:c r="P19" s="21">
        <s:f>IF(P12&lt;=50,Assumptions!$B$29,IF(P12&lt;=150,Assumptions!$B$30,IF(P12&lt;=500,Assumptions!$B$31,Assumptions!$B$32)))</s:f>
        <s:v>3000</s:v>
      </s:c>
      <s:c r="Q19" s="21">
        <s:f>IF(Q12&lt;=50,Assumptions!$B$29,IF(Q12&lt;=150,Assumptions!$B$30,IF(Q12&lt;=500,Assumptions!$B$31,Assumptions!$B$32)))</s:f>
        <s:v>3000</s:v>
      </s:c>
      <s:c r="R19" s="21">
        <s:f>IF(R12&lt;=50,Assumptions!$B$29,IF(R12&lt;=150,Assumptions!$B$30,IF(R12&lt;=500,Assumptions!$B$31,Assumptions!$B$32)))</s:f>
        <s:v>3000</s:v>
      </s:c>
      <s:c r="S19" s="21">
        <s:f>IF(S12&lt;=50,Assumptions!$B$29,IF(S12&lt;=150,Assumptions!$B$30,IF(S12&lt;=500,Assumptions!$B$31,Assumptions!$B$32)))</s:f>
        <s:v>3000</s:v>
      </s:c>
      <s:c r="T19" s="21">
        <s:f>IF(T12&lt;=50,Assumptions!$B$29,IF(T12&lt;=150,Assumptions!$B$30,IF(T12&lt;=500,Assumptions!$B$31,Assumptions!$B$32)))</s:f>
        <s:v>3000</s:v>
      </s:c>
    </s:row>
    <s:row r="20">
      <s:c r="A20" s="5" t="inlineStr">
        <s:is>
          <s:t>Contractor Pool (tiered)</s:t>
        </s:is>
      </s:c>
      <s:c r="B20" s="21">
        <s:f>IF(B12&lt;=25,Assumptions!$B$34,IF(B12&lt;=100,Assumptions!$B$35,IF(B12&lt;=300,Assumptions!$B$36,Assumptions!$B$37)))</s:f>
        <s:v>0</s:v>
      </s:c>
      <s:c r="C20" s="21">
        <s:f>IF(C12&lt;=25,Assumptions!$B$34,IF(C12&lt;=100,Assumptions!$B$35,IF(C12&lt;=300,Assumptions!$B$36,Assumptions!$B$37)))</s:f>
        <s:v>0</s:v>
      </s:c>
      <s:c r="D20" s="21">
        <s:f>IF(D12&lt;=25,Assumptions!$B$34,IF(D12&lt;=100,Assumptions!$B$35,IF(D12&lt;=300,Assumptions!$B$36,Assumptions!$B$37)))</s:f>
        <s:v>0</s:v>
      </s:c>
      <s:c r="E20" s="21">
        <s:f>IF(E12&lt;=25,Assumptions!$B$34,IF(E12&lt;=100,Assumptions!$B$35,IF(E12&lt;=300,Assumptions!$B$36,Assumptions!$B$37)))</s:f>
        <s:v>0</s:v>
      </s:c>
      <s:c r="F20" s="21">
        <s:f>IF(F12&lt;=25,Assumptions!$B$34,IF(F12&lt;=100,Assumptions!$B$35,IF(F12&lt;=300,Assumptions!$B$36,Assumptions!$B$37)))</s:f>
        <s:v>0</s:v>
      </s:c>
      <s:c r="G20" s="21">
        <s:f>IF(G12&lt;=25,Assumptions!$B$34,IF(G12&lt;=100,Assumptions!$B$35,IF(G12&lt;=300,Assumptions!$B$36,Assumptions!$B$37)))</s:f>
        <s:v>1500</s:v>
      </s:c>
      <s:c r="H20" s="21">
        <s:f>IF(H12&lt;=25,Assumptions!$B$34,IF(H12&lt;=100,Assumptions!$B$35,IF(H12&lt;=300,Assumptions!$B$36,Assumptions!$B$37)))</s:f>
        <s:v>1500</s:v>
      </s:c>
      <s:c r="I20" s="21">
        <s:f>IF(I12&lt;=25,Assumptions!$B$34,IF(I12&lt;=100,Assumptions!$B$35,IF(I12&lt;=300,Assumptions!$B$36,Assumptions!$B$37)))</s:f>
        <s:v>1500</s:v>
      </s:c>
      <s:c r="J20" s="21">
        <s:f>IF(J12&lt;=25,Assumptions!$B$34,IF(J12&lt;=100,Assumptions!$B$35,IF(J12&lt;=300,Assumptions!$B$36,Assumptions!$B$37)))</s:f>
        <s:v>1500</s:v>
      </s:c>
      <s:c r="K20" s="21">
        <s:f>IF(K12&lt;=25,Assumptions!$B$34,IF(K12&lt;=100,Assumptions!$B$35,IF(K12&lt;=300,Assumptions!$B$36,Assumptions!$B$37)))</s:f>
        <s:v>1500</s:v>
      </s:c>
      <s:c r="L20" s="21">
        <s:f>IF(L12&lt;=25,Assumptions!$B$34,IF(L12&lt;=100,Assumptions!$B$35,IF(L12&lt;=300,Assumptions!$B$36,Assumptions!$B$37)))</s:f>
        <s:v>3500</s:v>
      </s:c>
      <s:c r="M20" s="21">
        <s:f>IF(M12&lt;=25,Assumptions!$B$34,IF(M12&lt;=100,Assumptions!$B$35,IF(M12&lt;=300,Assumptions!$B$36,Assumptions!$B$37)))</s:f>
        <s:v>3500</s:v>
      </s:c>
      <s:c r="N20" s="21">
        <s:f>IF(N12&lt;=25,Assumptions!$B$34,IF(N12&lt;=100,Assumptions!$B$35,IF(N12&lt;=300,Assumptions!$B$36,Assumptions!$B$37)))</s:f>
        <s:v>3500</s:v>
      </s:c>
      <s:c r="O20" s="21">
        <s:f>IF(O12&lt;=25,Assumptions!$B$34,IF(O12&lt;=100,Assumptions!$B$35,IF(O12&lt;=300,Assumptions!$B$36,Assumptions!$B$37)))</s:f>
        <s:v>3500</s:v>
      </s:c>
      <s:c r="P20" s="21">
        <s:f>IF(P12&lt;=25,Assumptions!$B$34,IF(P12&lt;=100,Assumptions!$B$35,IF(P12&lt;=300,Assumptions!$B$36,Assumptions!$B$37)))</s:f>
        <s:v>3500</s:v>
      </s:c>
      <s:c r="Q20" s="21">
        <s:f>IF(Q12&lt;=25,Assumptions!$B$34,IF(Q12&lt;=100,Assumptions!$B$35,IF(Q12&lt;=300,Assumptions!$B$36,Assumptions!$B$37)))</s:f>
        <s:v>3500</s:v>
      </s:c>
      <s:c r="R20" s="21">
        <s:f>IF(R12&lt;=25,Assumptions!$B$34,IF(R12&lt;=100,Assumptions!$B$35,IF(R12&lt;=300,Assumptions!$B$36,Assumptions!$B$37)))</s:f>
        <s:v>6000</s:v>
      </s:c>
      <s:c r="S20" s="21">
        <s:f>IF(S12&lt;=25,Assumptions!$B$34,IF(S12&lt;=100,Assumptions!$B$35,IF(S12&lt;=300,Assumptions!$B$36,Assumptions!$B$37)))</s:f>
        <s:v>6000</s:v>
      </s:c>
      <s:c r="T20" s="21">
        <s:f>IF(T12&lt;=25,Assumptions!$B$34,IF(T12&lt;=100,Assumptions!$B$35,IF(T12&lt;=300,Assumptions!$B$36,Assumptions!$B$37)))</s:f>
        <s:v>6000</s:v>
      </s:c>
    </s:row>
    <s:row r="21">
      <s:c r="A21" s="5" t="inlineStr">
        <s:is>
          <s:t>CS &amp; Support (tiered)</s:t>
        </s:is>
      </s:c>
      <s:c r="B21" s="21">
        <s:f>IF(0&lt;6,Assumptions!$B$39,IF(0&lt;12,Assumptions!$B$40,Assumptions!$B$41))</s:f>
        <s:v>0</s:v>
      </s:c>
      <s:c r="C21" s="21">
        <s:f>IF(1&lt;6,Assumptions!$B$39,IF(1&lt;12,Assumptions!$B$40,Assumptions!$B$41))</s:f>
        <s:v>0</s:v>
      </s:c>
      <s:c r="D21" s="21">
        <s:f>IF(2&lt;6,Assumptions!$B$39,IF(2&lt;12,Assumptions!$B$40,Assumptions!$B$41))</s:f>
        <s:v>0</s:v>
      </s:c>
      <s:c r="E21" s="21">
        <s:f>IF(3&lt;6,Assumptions!$B$39,IF(3&lt;12,Assumptions!$B$40,Assumptions!$B$41))</s:f>
        <s:v>0</s:v>
      </s:c>
      <s:c r="F21" s="21">
        <s:f>IF(4&lt;6,Assumptions!$B$39,IF(4&lt;12,Assumptions!$B$40,Assumptions!$B$41))</s:f>
        <s:v>0</s:v>
      </s:c>
      <s:c r="G21" s="21">
        <s:f>IF(5&lt;6,Assumptions!$B$39,IF(5&lt;12,Assumptions!$B$40,Assumptions!$B$41))</s:f>
        <s:v>0</s:v>
      </s:c>
      <s:c r="H21" s="21">
        <s:f>IF(6&lt;6,Assumptions!$B$39,IF(6&lt;12,Assumptions!$B$40,Assumptions!$B$41))</s:f>
        <s:v>1500</s:v>
      </s:c>
      <s:c r="I21" s="21">
        <s:f>IF(7&lt;6,Assumptions!$B$39,IF(7&lt;12,Assumptions!$B$40,Assumptions!$B$41))</s:f>
        <s:v>1500</s:v>
      </s:c>
      <s:c r="J21" s="21">
        <s:f>IF(8&lt;6,Assumptions!$B$39,IF(8&lt;12,Assumptions!$B$40,Assumptions!$B$41))</s:f>
        <s:v>1500</s:v>
      </s:c>
      <s:c r="K21" s="21">
        <s:f>IF(9&lt;6,Assumptions!$B$39,IF(9&lt;12,Assumptions!$B$40,Assumptions!$B$41))</s:f>
        <s:v>1500</s:v>
      </s:c>
      <s:c r="L21" s="21">
        <s:f>IF(10&lt;6,Assumptions!$B$39,IF(10&lt;12,Assumptions!$B$40,Assumptions!$B$41))</s:f>
        <s:v>1500</s:v>
      </s:c>
      <s:c r="M21" s="21">
        <s:f>IF(11&lt;6,Assumptions!$B$39,IF(11&lt;12,Assumptions!$B$40,Assumptions!$B$41))</s:f>
        <s:v>1500</s:v>
      </s:c>
      <s:c r="N21" s="21">
        <s:f>IF(12&lt;6,Assumptions!$B$39,IF(12&lt;12,Assumptions!$B$40,Assumptions!$B$41))</s:f>
        <s:v>3500</s:v>
      </s:c>
      <s:c r="O21" s="21">
        <s:f>IF(13&lt;6,Assumptions!$B$39,IF(13&lt;12,Assumptions!$B$40,Assumptions!$B$41))</s:f>
        <s:v>3500</s:v>
      </s:c>
      <s:c r="P21" s="21">
        <s:f>IF(14&lt;6,Assumptions!$B$39,IF(14&lt;12,Assumptions!$B$40,Assumptions!$B$41))</s:f>
        <s:v>3500</s:v>
      </s:c>
      <s:c r="Q21" s="21">
        <s:f>IF(15&lt;6,Assumptions!$B$39,IF(15&lt;12,Assumptions!$B$40,Assumptions!$B$41))</s:f>
        <s:v>3500</s:v>
      </s:c>
      <s:c r="R21" s="21">
        <s:f>IF(16&lt;6,Assumptions!$B$39,IF(16&lt;12,Assumptions!$B$40,Assumptions!$B$41))</s:f>
        <s:v>3500</s:v>
      </s:c>
      <s:c r="S21" s="21">
        <s:f>IF(17&lt;6,Assumptions!$B$39,IF(17&lt;12,Assumptions!$B$40,Assumptions!$B$41))</s:f>
        <s:v>3500</s:v>
      </s:c>
      <s:c r="T21" s="21">
        <s:f>IF(18&lt;6,Assumptions!$B$39,IF(18&lt;12,Assumptions!$B$40,Assumptions!$B$41))</s:f>
        <s:v>3500</s:v>
      </s:c>
    </s:row>
    <s:row r="22">
      <s:c r="A22" s="5" t="inlineStr">
        <s:is>
          <s:t>Tools (tiered)</s:t>
        </s:is>
      </s:c>
      <s:c r="B22" s="21">
        <s:f>IF(0&lt;6,Assumptions!$B$43,Assumptions!$B$44)</s:f>
        <s:v>500</s:v>
      </s:c>
      <s:c r="C22" s="21">
        <s:f>IF(1&lt;6,Assumptions!$B$43,Assumptions!$B$44)</s:f>
        <s:v>500</s:v>
      </s:c>
      <s:c r="D22" s="21">
        <s:f>IF(2&lt;6,Assumptions!$B$43,Assumptions!$B$44)</s:f>
        <s:v>500</s:v>
      </s:c>
      <s:c r="E22" s="21">
        <s:f>IF(3&lt;6,Assumptions!$B$43,Assumptions!$B$44)</s:f>
        <s:v>500</s:v>
      </s:c>
      <s:c r="F22" s="21">
        <s:f>IF(4&lt;6,Assumptions!$B$43,Assumptions!$B$44)</s:f>
        <s:v>500</s:v>
      </s:c>
      <s:c r="G22" s="21">
        <s:f>IF(5&lt;6,Assumptions!$B$43,Assumptions!$B$44)</s:f>
        <s:v>500</s:v>
      </s:c>
      <s:c r="H22" s="21">
        <s:f>IF(6&lt;6,Assumptions!$B$43,Assumptions!$B$44)</s:f>
        <s:v>1000</s:v>
      </s:c>
      <s:c r="I22" s="21">
        <s:f>IF(7&lt;6,Assumptions!$B$43,Assumptions!$B$44)</s:f>
        <s:v>1000</s:v>
      </s:c>
      <s:c r="J22" s="21">
        <s:f>IF(8&lt;6,Assumptions!$B$43,Assumptions!$B$44)</s:f>
        <s:v>1000</s:v>
      </s:c>
      <s:c r="K22" s="21">
        <s:f>IF(9&lt;6,Assumptions!$B$43,Assumptions!$B$44)</s:f>
        <s:v>1000</s:v>
      </s:c>
      <s:c r="L22" s="21">
        <s:f>IF(10&lt;6,Assumptions!$B$43,Assumptions!$B$44)</s:f>
        <s:v>1000</s:v>
      </s:c>
      <s:c r="M22" s="21">
        <s:f>IF(11&lt;6,Assumptions!$B$43,Assumptions!$B$44)</s:f>
        <s:v>1000</s:v>
      </s:c>
      <s:c r="N22" s="21">
        <s:f>IF(12&lt;6,Assumptions!$B$43,Assumptions!$B$44)</s:f>
        <s:v>1000</s:v>
      </s:c>
      <s:c r="O22" s="21">
        <s:f>IF(13&lt;6,Assumptions!$B$43,Assumptions!$B$44)</s:f>
        <s:v>1000</s:v>
      </s:c>
      <s:c r="P22" s="21">
        <s:f>IF(14&lt;6,Assumptions!$B$43,Assumptions!$B$44)</s:f>
        <s:v>1000</s:v>
      </s:c>
      <s:c r="Q22" s="21">
        <s:f>IF(15&lt;6,Assumptions!$B$43,Assumptions!$B$44)</s:f>
        <s:v>1000</s:v>
      </s:c>
      <s:c r="R22" s="21">
        <s:f>IF(16&lt;6,Assumptions!$B$43,Assumptions!$B$44)</s:f>
        <s:v>1000</s:v>
      </s:c>
      <s:c r="S22" s="21">
        <s:f>IF(17&lt;6,Assumptions!$B$43,Assumptions!$B$44)</s:f>
        <s:v>1000</s:v>
      </s:c>
      <s:c r="T22" s="21">
        <s:f>IF(18&lt;6,Assumptions!$B$43,Assumptions!$B$44)</s:f>
        <s:v>1000</s:v>
      </s:c>
    </s:row>
    <s:row r="23">
      <s:c r="A23" s="5" t="inlineStr">
        <s:is>
          <s:t>Marketing (ramp)</s:t>
        </s:is>
      </s:c>
      <s:c r="B23" s="21">
        <s:f>IF(0&lt;=1,Assumptions!$B$46,IF(0=2,Assumptions!$B$47,IF(0=3,Assumptions!$B$48,Assumptions!$B$49)))</s:f>
        <s:v>750</s:v>
      </s:c>
      <s:c r="C23" s="21">
        <s:f>IF(1&lt;=1,Assumptions!$B$46,IF(1=2,Assumptions!$B$47,IF(1=3,Assumptions!$B$48,Assumptions!$B$49)))</s:f>
        <s:v>750</s:v>
      </s:c>
      <s:c r="D23" s="21">
        <s:f>IF(2&lt;=1,Assumptions!$B$46,IF(2=2,Assumptions!$B$47,IF(2=3,Assumptions!$B$48,Assumptions!$B$49)))</s:f>
        <s:v>1500</s:v>
      </s:c>
      <s:c r="E23" s="21">
        <s:f>IF(3&lt;=1,Assumptions!$B$46,IF(3=2,Assumptions!$B$47,IF(3=3,Assumptions!$B$48,Assumptions!$B$49)))</s:f>
        <s:v>2250</s:v>
      </s:c>
      <s:c r="F23" s="21">
        <s:f>IF(4&lt;=1,Assumptions!$B$46,IF(4=2,Assumptions!$B$47,IF(4=3,Assumptions!$B$48,Assumptions!$B$49)))</s:f>
        <s:v>3000</s:v>
      </s:c>
      <s:c r="G23" s="21">
        <s:f>IF(5&lt;=1,Assumptions!$B$46,IF(5=2,Assumptions!$B$47,IF(5=3,Assumptions!$B$48,Assumptions!$B$49)))</s:f>
        <s:v>3000</s:v>
      </s:c>
      <s:c r="H23" s="21">
        <s:f>IF(6&lt;=1,Assumptions!$B$46,IF(6=2,Assumptions!$B$47,IF(6=3,Assumptions!$B$48,Assumptions!$B$49)))</s:f>
        <s:v>3000</s:v>
      </s:c>
      <s:c r="I23" s="21">
        <s:f>IF(7&lt;=1,Assumptions!$B$46,IF(7=2,Assumptions!$B$47,IF(7=3,Assumptions!$B$48,Assumptions!$B$49)))</s:f>
        <s:v>3000</s:v>
      </s:c>
      <s:c r="J23" s="21">
        <s:f>IF(8&lt;=1,Assumptions!$B$46,IF(8=2,Assumptions!$B$47,IF(8=3,Assumptions!$B$48,Assumptions!$B$49)))</s:f>
        <s:v>3000</s:v>
      </s:c>
      <s:c r="K23" s="21">
        <s:f>IF(9&lt;=1,Assumptions!$B$46,IF(9=2,Assumptions!$B$47,IF(9=3,Assumptions!$B$48,Assumptions!$B$49)))</s:f>
        <s:v>3000</s:v>
      </s:c>
      <s:c r="L23" s="21">
        <s:f>IF(10&lt;=1,Assumptions!$B$46,IF(10=2,Assumptions!$B$47,IF(10=3,Assumptions!$B$48,Assumptions!$B$49)))</s:f>
        <s:v>3000</s:v>
      </s:c>
      <s:c r="M23" s="21">
        <s:f>IF(11&lt;=1,Assumptions!$B$46,IF(11=2,Assumptions!$B$47,IF(11=3,Assumptions!$B$48,Assumptions!$B$49)))</s:f>
        <s:v>3000</s:v>
      </s:c>
      <s:c r="N23" s="21">
        <s:f>IF(12&lt;=1,Assumptions!$B$46,IF(12=2,Assumptions!$B$47,IF(12=3,Assumptions!$B$48,Assumptions!$B$49)))</s:f>
        <s:v>3000</s:v>
      </s:c>
      <s:c r="O23" s="21">
        <s:f>IF(13&lt;=1,Assumptions!$B$46,IF(13=2,Assumptions!$B$47,IF(13=3,Assumptions!$B$48,Assumptions!$B$49)))</s:f>
        <s:v>3000</s:v>
      </s:c>
      <s:c r="P23" s="21">
        <s:f>IF(14&lt;=1,Assumptions!$B$46,IF(14=2,Assumptions!$B$47,IF(14=3,Assumptions!$B$48,Assumptions!$B$49)))</s:f>
        <s:v>3000</s:v>
      </s:c>
      <s:c r="Q23" s="21">
        <s:f>IF(15&lt;=1,Assumptions!$B$46,IF(15=2,Assumptions!$B$47,IF(15=3,Assumptions!$B$48,Assumptions!$B$49)))</s:f>
        <s:v>3000</s:v>
      </s:c>
      <s:c r="R23" s="21">
        <s:f>IF(16&lt;=1,Assumptions!$B$46,IF(16=2,Assumptions!$B$47,IF(16=3,Assumptions!$B$48,Assumptions!$B$49)))</s:f>
        <s:v>3000</s:v>
      </s:c>
      <s:c r="S23" s="21">
        <s:f>IF(17&lt;=1,Assumptions!$B$46,IF(17=2,Assumptions!$B$47,IF(17=3,Assumptions!$B$48,Assumptions!$B$49)))</s:f>
        <s:v>3000</s:v>
      </s:c>
      <s:c r="T23" s="21">
        <s:f>IF(18&lt;=1,Assumptions!$B$46,IF(18=2,Assumptions!$B$47,IF(18=3,Assumptions!$B$48,Assumptions!$B$49)))</s:f>
        <s:v>3000</s:v>
      </s:c>
    </s:row>
    <s:row r="24">
      <s:c r="A24" s="5" t="inlineStr">
        <s:is>
          <s:t>Variable Opex (subtotal)</s:t>
        </s:is>
      </s:c>
      <s:c r="B24" s="22">
        <s:f>SUM(B19:B23)</s:f>
        <s:v>1750</s:v>
      </s:c>
      <s:c r="C24" s="22">
        <s:f>SUM(C19:C23)</s:f>
        <s:v>1750</s:v>
      </s:c>
      <s:c r="D24" s="22">
        <s:f>SUM(D19:D23)</s:f>
        <s:v>2500</s:v>
      </s:c>
      <s:c r="E24" s="22">
        <s:f>SUM(E19:E23)</s:f>
        <s:v>3250</s:v>
      </s:c>
      <s:c r="F24" s="22">
        <s:f>SUM(F19:F23)</s:f>
        <s:v>4000</s:v>
      </s:c>
      <s:c r="G24" s="22">
        <s:f>SUM(G19:G23)</s:f>
        <s:v>5500</s:v>
      </s:c>
      <s:c r="H24" s="22">
        <s:f>SUM(H19:H23)</s:f>
        <s:v>7500</s:v>
      </s:c>
      <s:c r="I24" s="22">
        <s:f>SUM(I19:I23)</s:f>
        <s:v>7500</s:v>
      </s:c>
      <s:c r="J24" s="22">
        <s:f>SUM(J19:J23)</s:f>
        <s:v>8500</s:v>
      </s:c>
      <s:c r="K24" s="22">
        <s:f>SUM(K19:K23)</s:f>
        <s:v>8500</s:v>
      </s:c>
      <s:c r="L24" s="22">
        <s:f>SUM(L19:L23)</s:f>
        <s:v>10500</s:v>
      </s:c>
      <s:c r="M24" s="22">
        <s:f>SUM(M19:M23)</s:f>
        <s:v>10500</s:v>
      </s:c>
      <s:c r="N24" s="22">
        <s:f>SUM(N19:N23)</s:f>
        <s:v>14000</s:v>
      </s:c>
      <s:c r="O24" s="22">
        <s:f>SUM(O19:O23)</s:f>
        <s:v>14000</s:v>
      </s:c>
      <s:c r="P24" s="22">
        <s:f>SUM(P19:P23)</s:f>
        <s:v>14000</s:v>
      </s:c>
      <s:c r="Q24" s="22">
        <s:f>SUM(Q19:Q23)</s:f>
        <s:v>14000</s:v>
      </s:c>
      <s:c r="R24" s="22">
        <s:f>SUM(R19:R23)</s:f>
        <s:v>16500</s:v>
      </s:c>
      <s:c r="S24" s="22">
        <s:f>SUM(S19:S23)</s:f>
        <s:v>16500</s:v>
      </s:c>
      <s:c r="T24" s="22">
        <s:f>SUM(T19:T23)</s:f>
        <s:v>16500</s:v>
      </s:c>
    </s:row>
    <s:row r="25">
      <s:c r="A25" s="5" t="inlineStr">
        <s:is>
          <s:t>One-Time (legal + SOC2 setup)</s:t>
        </s:is>
      </s:c>
      <s:c r="B25" s="21">
        <s:f>IF(0=0,Assumptions!$B$16+Assumptions!$B$17+Assumptions!$B$18+Assumptions!$B$19,0)+IF(0&lt;Assumptions!$B$21,Assumptions!$B$20/Assumptions!$B$21,0)</s:f>
        <s:v>16666.666666666668</s:v>
      </s:c>
      <s:c r="C25" s="21">
        <s:f>IF(1=0,Assumptions!$B$16+Assumptions!$B$17+Assumptions!$B$18+Assumptions!$B$19,0)+IF(1&lt;Assumptions!$B$21,Assumptions!$B$20/Assumptions!$B$21,0)</s:f>
        <s:v>6666.666666666667</s:v>
      </s:c>
      <s:c r="D25" s="21">
        <s:f>IF(2=0,Assumptions!$B$16+Assumptions!$B$17+Assumptions!$B$18+Assumptions!$B$19,0)+IF(2&lt;Assumptions!$B$21,Assumptions!$B$20/Assumptions!$B$21,0)</s:f>
        <s:v>6666.666666666667</s:v>
      </s:c>
      <s:c r="E25" s="21">
        <s:f>IF(3=0,Assumptions!$B$16+Assumptions!$B$17+Assumptions!$B$18+Assumptions!$B$19,0)+IF(3&lt;Assumptions!$B$21,Assumptions!$B$20/Assumptions!$B$21,0)</s:f>
        <s:v>0</s:v>
      </s:c>
      <s:c r="F25" s="21">
        <s:f>IF(4=0,Assumptions!$B$16+Assumptions!$B$17+Assumptions!$B$18+Assumptions!$B$19,0)+IF(4&lt;Assumptions!$B$21,Assumptions!$B$20/Assumptions!$B$21,0)</s:f>
        <s:v>0</s:v>
      </s:c>
      <s:c r="G25" s="21">
        <s:f>IF(5=0,Assumptions!$B$16+Assumptions!$B$17+Assumptions!$B$18+Assumptions!$B$19,0)+IF(5&lt;Assumptions!$B$21,Assumptions!$B$20/Assumptions!$B$21,0)</s:f>
        <s:v>0</s:v>
      </s:c>
      <s:c r="H25" s="21">
        <s:f>IF(6=0,Assumptions!$B$16+Assumptions!$B$17+Assumptions!$B$18+Assumptions!$B$19,0)+IF(6&lt;Assumptions!$B$21,Assumptions!$B$20/Assumptions!$B$21,0)</s:f>
        <s:v>0</s:v>
      </s:c>
      <s:c r="I25" s="21">
        <s:f>IF(7=0,Assumptions!$B$16+Assumptions!$B$17+Assumptions!$B$18+Assumptions!$B$19,0)+IF(7&lt;Assumptions!$B$21,Assumptions!$B$20/Assumptions!$B$21,0)</s:f>
        <s:v>0</s:v>
      </s:c>
      <s:c r="J25" s="21">
        <s:f>IF(8=0,Assumptions!$B$16+Assumptions!$B$17+Assumptions!$B$18+Assumptions!$B$19,0)+IF(8&lt;Assumptions!$B$21,Assumptions!$B$20/Assumptions!$B$21,0)</s:f>
        <s:v>0</s:v>
      </s:c>
      <s:c r="K25" s="21">
        <s:f>IF(9=0,Assumptions!$B$16+Assumptions!$B$17+Assumptions!$B$18+Assumptions!$B$19,0)+IF(9&lt;Assumptions!$B$21,Assumptions!$B$20/Assumptions!$B$21,0)</s:f>
        <s:v>0</s:v>
      </s:c>
      <s:c r="L25" s="21">
        <s:f>IF(10=0,Assumptions!$B$16+Assumptions!$B$17+Assumptions!$B$18+Assumptions!$B$19,0)+IF(10&lt;Assumptions!$B$21,Assumptions!$B$20/Assumptions!$B$21,0)</s:f>
        <s:v>0</s:v>
      </s:c>
      <s:c r="M25" s="21">
        <s:f>IF(11=0,Assumptions!$B$16+Assumptions!$B$17+Assumptions!$B$18+Assumptions!$B$19,0)+IF(11&lt;Assumptions!$B$21,Assumptions!$B$20/Assumptions!$B$21,0)</s:f>
        <s:v>0</s:v>
      </s:c>
      <s:c r="N25" s="21">
        <s:f>IF(12=0,Assumptions!$B$16+Assumptions!$B$17+Assumptions!$B$18+Assumptions!$B$19,0)+IF(12&lt;Assumptions!$B$21,Assumptions!$B$20/Assumptions!$B$21,0)</s:f>
        <s:v>0</s:v>
      </s:c>
      <s:c r="O25" s="21">
        <s:f>IF(13=0,Assumptions!$B$16+Assumptions!$B$17+Assumptions!$B$18+Assumptions!$B$19,0)+IF(13&lt;Assumptions!$B$21,Assumptions!$B$20/Assumptions!$B$21,0)</s:f>
        <s:v>0</s:v>
      </s:c>
      <s:c r="P25" s="21">
        <s:f>IF(14=0,Assumptions!$B$16+Assumptions!$B$17+Assumptions!$B$18+Assumptions!$B$19,0)+IF(14&lt;Assumptions!$B$21,Assumptions!$B$20/Assumptions!$B$21,0)</s:f>
        <s:v>0</s:v>
      </s:c>
      <s:c r="Q25" s="21">
        <s:f>IF(15=0,Assumptions!$B$16+Assumptions!$B$17+Assumptions!$B$18+Assumptions!$B$19,0)+IF(15&lt;Assumptions!$B$21,Assumptions!$B$20/Assumptions!$B$21,0)</s:f>
        <s:v>0</s:v>
      </s:c>
      <s:c r="R25" s="21">
        <s:f>IF(16=0,Assumptions!$B$16+Assumptions!$B$17+Assumptions!$B$18+Assumptions!$B$19,0)+IF(16&lt;Assumptions!$B$21,Assumptions!$B$20/Assumptions!$B$21,0)</s:f>
        <s:v>0</s:v>
      </s:c>
      <s:c r="S25" s="21">
        <s:f>IF(17=0,Assumptions!$B$16+Assumptions!$B$17+Assumptions!$B$18+Assumptions!$B$19,0)+IF(17&lt;Assumptions!$B$21,Assumptions!$B$20/Assumptions!$B$21,0)</s:f>
        <s:v>0</s:v>
      </s:c>
      <s:c r="T25" s="21">
        <s:f>IF(18=0,Assumptions!$B$16+Assumptions!$B$17+Assumptions!$B$18+Assumptions!$B$19,0)+IF(18&lt;Assumptions!$B$21,Assumptions!$B$20/Assumptions!$B$21,0)</s:f>
        <s:v>0</s:v>
      </s:c>
    </s:row>
    <s:row r="26">
      <s:c r="A26" s="25" t="inlineStr">
        <s:is>
          <s:t>TOTAL CASH OP COST</s:t>
        </s:is>
      </s:c>
      <s:c r="B26" s="21">
        <s:f>B15+B18+B24+B25</s:f>
        <s:v>20382.666666666668</s:v>
      </s:c>
      <s:c r="C26" s="21">
        <s:f>C15+C18+C24+C25</s:f>
        <s:v>10382.666666666668</s:v>
      </s:c>
      <s:c r="D26" s="21">
        <s:f>D15+D18+D24+D25</s:f>
        <s:v>11132.666666666668</s:v>
      </s:c>
      <s:c r="E26" s="21">
        <s:f>E15+E18+E24+E25</s:f>
        <s:v>5274</s:v>
      </s:c>
      <s:c r="F26" s="21">
        <s:f>F15+F18+F24+F25</s:f>
        <s:v>6081</s:v>
      </s:c>
      <s:c r="G26" s="21">
        <s:f>G15+G18+G24+G25</s:f>
        <s:v>12668</s:v>
      </s:c>
      <s:c r="H26" s="21">
        <s:f>H15+H18+H24+H25</s:f>
        <s:v>14813</s:v>
      </s:c>
      <s:c r="I26" s="21">
        <s:f>I15+I18+I24+I25</s:f>
        <s:v>15016</s:v>
      </s:c>
      <s:c r="J26" s="21">
        <s:f>J15+J18+J24+J25</s:f>
        <s:v>16276</s:v>
      </s:c>
      <s:c r="K26" s="21">
        <s:f>K15+K18+K24+K25</s:f>
        <s:v>16580</s:v>
      </s:c>
      <s:c r="L26" s="21">
        <s:f>L15+L18+L24+L25</s:f>
        <s:v>18942</s:v>
      </s:c>
      <s:c r="M26" s="21">
        <s:f>M15+M18+M24+M25</s:f>
        <s:v>19376</s:v>
      </s:c>
      <s:c r="N26" s="21">
        <s:f>N15+N18+N24+N25</s:f>
        <s:v>23353</s:v>
      </s:c>
      <s:c r="O26" s="21">
        <s:f>O15+O18+O24+O25</s:f>
        <s:v>23874</s:v>
      </s:c>
      <s:c r="P26" s="21">
        <s:f>P15+P18+P24+P25</s:f>
        <s:v>24453</s:v>
      </s:c>
      <s:c r="Q26" s="21">
        <s:f>Q15+Q18+Q24+Q25</s:f>
        <s:v>25090</s:v>
      </s:c>
      <s:c r="R26" s="21">
        <s:f>R15+R18+R24+R25</s:f>
        <s:v>28270</s:v>
      </s:c>
      <s:c r="S26" s="21">
        <s:f>S15+S18+S24+S25</s:f>
        <s:v>28994</s:v>
      </s:c>
      <s:c r="T26" s="21">
        <s:f>T15+T18+T24+T25</s:f>
        <s:v>29761</s:v>
      </s:c>
    </s:row>
    <s:row r="27">
      <s:c r="A27" s="3" t="inlineStr">
        <s:is>
          <s:t>CASH — NO SWEEP (hold Joe's loan)</s:t>
        </s:is>
      </s:c>
      <s:c r="B27" s="4" t="inlineStr"/>
      <s:c r="C27" s="4" t="inlineStr"/>
      <s:c r="D27" s="4" t="inlineStr"/>
      <s:c r="E27" s="4" t="inlineStr"/>
      <s:c r="F27" s="4" t="inlineStr"/>
      <s:c r="G27" s="4" t="inlineStr"/>
      <s:c r="H27" s="4" t="inlineStr"/>
      <s:c r="I27" s="4" t="inlineStr"/>
      <s:c r="J27" s="4" t="inlineStr"/>
      <s:c r="K27" s="4" t="inlineStr"/>
      <s:c r="L27" s="4" t="inlineStr"/>
      <s:c r="M27" s="4" t="inlineStr"/>
      <s:c r="N27" s="4" t="inlineStr"/>
      <s:c r="O27" s="4" t="inlineStr"/>
      <s:c r="P27" s="4" t="inlineStr"/>
      <s:c r="Q27" s="4" t="inlineStr"/>
      <s:c r="R27" s="4" t="inlineStr"/>
      <s:c r="S27" s="4" t="inlineStr"/>
      <s:c r="T27" s="4" t="inlineStr"/>
    </s:row>
    <s:row r="28">
      <s:c r="A28" s="5" t="inlineStr">
        <s:is>
          <s:t>Net Operating Cash Flow</s:t>
        </s:is>
      </s:c>
      <s:c r="B28" s="22">
        <s:f>B13-B26</s:f>
        <s:v>-20382.666666666668</s:v>
      </s:c>
      <s:c r="C28" s="22">
        <s:f>C13-C26</s:f>
        <s:v>-10382.666666666668</s:v>
      </s:c>
      <s:c r="D28" s="22">
        <s:f>D13-D26</s:f>
        <s:v>-11132.666666666668</s:v>
      </s:c>
      <s:c r="E28" s="22">
        <s:f>E13-E26</s:f>
        <s:v>-3284</s:v>
      </s:c>
      <s:c r="F28" s="22">
        <s:f>F13-F26</s:f>
        <s:v>-2101</s:v>
      </s:c>
      <s:c r="G28" s="22">
        <s:f>G13-G26</s:f>
        <s:v>-5694</s:v>
      </s:c>
      <s:c r="H28" s="22">
        <s:f>H13-H26</s:f>
        <s:v>-2849</s:v>
      </s:c>
      <s:c r="I28" s="22">
        <s:f>I13-I26</s:f>
        <s:v>3934</s:v>
      </s:c>
      <s:c r="J28" s="22">
        <s:f>J13-J26</s:f>
        <s:v>11656</s:v>
      </s:c>
      <s:c r="K28" s="22">
        <s:f>K13-K26</s:f>
        <s:v>21831</s:v>
      </s:c>
      <s:c r="L28" s="22">
        <s:f>L13-L26</s:f>
        <s:v>31944</s:v>
      </s:c>
      <s:c r="M28" s="22">
        <s:f>M13-M26</s:f>
        <s:v>46480</s:v>
      </s:c>
      <s:c r="N28" s="22">
        <s:f>N13-N26</s:f>
        <s:v>58970</s:v>
      </s:c>
      <s:c r="O28" s="22">
        <s:f>O13-O26</s:f>
        <s:v>76413</s:v>
      </s:c>
      <s:c r="P28" s="22">
        <s:f>P13-P26</s:f>
        <s:v>95794</s:v>
      </s:c>
      <s:c r="Q28" s="22">
        <s:f>Q13-Q26</s:f>
        <s:v>117113</s:v>
      </s:c>
      <s:c r="R28" s="22">
        <s:f>R13-R26</s:f>
        <s:v>137386</s:v>
      </s:c>
      <s:c r="S28" s="22">
        <s:f>S13-S26</s:f>
        <s:v>161612</s:v>
      </s:c>
      <s:c r="T28" s="22">
        <s:f>T13-T26</s:f>
        <s:v>187292</s:v>
      </s:c>
    </s:row>
    <s:row r="29">
      <s:c r="A29" s="5" t="inlineStr">
        <s:is>
          <s:t>Joe Loan Drawdown</s:t>
        </s:is>
      </s:c>
      <s:c r="B29" s="23">
        <s:f>IF(0=Assumptions!$B$6,Assumptions!$B$4,0)</s:f>
        <s:v>55000</s:v>
      </s:c>
      <s:c r="C29" s="23">
        <s:f>IF(1=Assumptions!$B$6,Assumptions!$B$4,0)</s:f>
        <s:v>0</s:v>
      </s:c>
      <s:c r="D29" s="23">
        <s:f>IF(2=Assumptions!$B$6,Assumptions!$B$4,0)</s:f>
        <s:v>0</s:v>
      </s:c>
      <s:c r="E29" s="23">
        <s:f>IF(3=Assumptions!$B$6,Assumptions!$B$4,0)</s:f>
        <s:v>0</s:v>
      </s:c>
      <s:c r="F29" s="23">
        <s:f>IF(4=Assumptions!$B$6,Assumptions!$B$4,0)</s:f>
        <s:v>0</s:v>
      </s:c>
      <s:c r="G29" s="23">
        <s:f>IF(5=Assumptions!$B$6,Assumptions!$B$4,0)</s:f>
        <s:v>0</s:v>
      </s:c>
      <s:c r="H29" s="23">
        <s:f>IF(6=Assumptions!$B$6,Assumptions!$B$4,0)</s:f>
        <s:v>0</s:v>
      </s:c>
      <s:c r="I29" s="23">
        <s:f>IF(7=Assumptions!$B$6,Assumptions!$B$4,0)</s:f>
        <s:v>0</s:v>
      </s:c>
      <s:c r="J29" s="23">
        <s:f>IF(8=Assumptions!$B$6,Assumptions!$B$4,0)</s:f>
        <s:v>0</s:v>
      </s:c>
      <s:c r="K29" s="23">
        <s:f>IF(9=Assumptions!$B$6,Assumptions!$B$4,0)</s:f>
        <s:v>0</s:v>
      </s:c>
      <s:c r="L29" s="23">
        <s:f>IF(10=Assumptions!$B$6,Assumptions!$B$4,0)</s:f>
        <s:v>0</s:v>
      </s:c>
      <s:c r="M29" s="23">
        <s:f>IF(11=Assumptions!$B$6,Assumptions!$B$4,0)</s:f>
        <s:v>0</s:v>
      </s:c>
      <s:c r="N29" s="23">
        <s:f>IF(12=Assumptions!$B$6,Assumptions!$B$4,0)</s:f>
        <s:v>0</s:v>
      </s:c>
      <s:c r="O29" s="23">
        <s:f>IF(13=Assumptions!$B$6,Assumptions!$B$4,0)</s:f>
        <s:v>0</s:v>
      </s:c>
      <s:c r="P29" s="23">
        <s:f>IF(14=Assumptions!$B$6,Assumptions!$B$4,0)</s:f>
        <s:v>0</s:v>
      </s:c>
      <s:c r="Q29" s="23">
        <s:f>IF(15=Assumptions!$B$6,Assumptions!$B$4,0)</s:f>
        <s:v>0</s:v>
      </s:c>
      <s:c r="R29" s="23">
        <s:f>IF(16=Assumptions!$B$6,Assumptions!$B$4,0)</s:f>
        <s:v>0</s:v>
      </s:c>
      <s:c r="S29" s="23">
        <s:f>IF(17=Assumptions!$B$6,Assumptions!$B$4,0)</s:f>
        <s:v>0</s:v>
      </s:c>
      <s:c r="T29" s="23">
        <s:f>IF(18=Assumptions!$B$6,Assumptions!$B$4,0)</s:f>
        <s:v>0</s:v>
      </s:c>
    </s:row>
    <s:row r="30">
      <s:c r="A30" s="5" t="inlineStr">
        <s:is>
          <s:t>Beginning Cash</s:t>
        </s:is>
      </s:c>
      <s:c r="B30" s="21">
        <s:f>0</s:f>
        <s:v>0</s:v>
      </s:c>
      <s:c r="C30" s="21">
        <s:f>B31</s:f>
        <s:v>34617.33333333333</s:v>
      </s:c>
      <s:c r="D30" s="21">
        <s:f>C31</s:f>
        <s:v>24234.66666666666</s:v>
      </s:c>
      <s:c r="E30" s="21">
        <s:f>D31</s:f>
        <s:v>13101.999999999993</s:v>
      </s:c>
      <s:c r="F30" s="21">
        <s:f>E31</s:f>
        <s:v>9817.999999999993</s:v>
      </s:c>
      <s:c r="G30" s="21">
        <s:f>F31</s:f>
        <s:v>7716.999999999993</s:v>
      </s:c>
      <s:c r="H30" s="21">
        <s:f>G31</s:f>
        <s:v>2022.9999999999927</s:v>
      </s:c>
      <s:c r="I30" s="21">
        <s:f>H31</s:f>
        <s:v>-826.0000000000073</s:v>
      </s:c>
      <s:c r="J30" s="21">
        <s:f>I31</s:f>
        <s:v>3107.9999999999927</s:v>
      </s:c>
      <s:c r="K30" s="21">
        <s:f>J31</s:f>
        <s:v>14763.999999999993</s:v>
      </s:c>
      <s:c r="L30" s="21">
        <s:f>K31</s:f>
        <s:v>36594.99999999999</s:v>
      </s:c>
      <s:c r="M30" s="21">
        <s:f>L31</s:f>
        <s:v>68539</s:v>
      </s:c>
      <s:c r="N30" s="21">
        <s:f>M31</s:f>
        <s:v>115019</s:v>
      </s:c>
      <s:c r="O30" s="21">
        <s:f>N31</s:f>
        <s:v>173989</s:v>
      </s:c>
      <s:c r="P30" s="21">
        <s:f>O31</s:f>
        <s:v>250402</s:v>
      </s:c>
      <s:c r="Q30" s="21">
        <s:f>P31</s:f>
        <s:v>346196</s:v>
      </s:c>
      <s:c r="R30" s="21">
        <s:f>Q31</s:f>
        <s:v>463309</s:v>
      </s:c>
      <s:c r="S30" s="21">
        <s:f>R31</s:f>
        <s:v>600695</s:v>
      </s:c>
      <s:c r="T30" s="21">
        <s:f>S31</s:f>
        <s:v>762307</s:v>
      </s:c>
    </s:row>
    <s:row r="31">
      <s:c r="A31" s="25" t="inlineStr">
        <s:is>
          <s:t>ENDING CASH BALANCE</s:t>
        </s:is>
      </s:c>
      <s:c r="B31" s="43">
        <s:f>B30+B28+B29</s:f>
        <s:v>34617.33333333333</s:v>
      </s:c>
      <s:c r="C31" s="43">
        <s:f>C30+C28+C29</s:f>
        <s:v>24234.66666666666</s:v>
      </s:c>
      <s:c r="D31" s="43">
        <s:f>D30+D28+D29</s:f>
        <s:v>13101.999999999993</s:v>
      </s:c>
      <s:c r="E31" s="43">
        <s:f>E30+E28+E29</s:f>
        <s:v>9817.999999999993</s:v>
      </s:c>
      <s:c r="F31" s="43">
        <s:f>F30+F28+F29</s:f>
        <s:v>7716.999999999993</s:v>
      </s:c>
      <s:c r="G31" s="43">
        <s:f>G30+G28+G29</s:f>
        <s:v>2022.9999999999927</s:v>
      </s:c>
      <s:c r="H31" s="43">
        <s:f>H30+H28+H29</s:f>
        <s:v>-826.0000000000073</s:v>
      </s:c>
      <s:c r="I31" s="43">
        <s:f>I30+I28+I29</s:f>
        <s:v>3107.9999999999927</s:v>
      </s:c>
      <s:c r="J31" s="43">
        <s:f>J30+J28+J29</s:f>
        <s:v>14763.999999999993</s:v>
      </s:c>
      <s:c r="K31" s="43">
        <s:f>K30+K28+K29</s:f>
        <s:v>36594.99999999999</s:v>
      </s:c>
      <s:c r="L31" s="43">
        <s:f>L30+L28+L29</s:f>
        <s:v>68539</s:v>
      </s:c>
      <s:c r="M31" s="43">
        <s:f>M30+M28+M29</s:f>
        <s:v>115019</s:v>
      </s:c>
      <s:c r="N31" s="43">
        <s:f>N30+N28+N29</s:f>
        <s:v>173989</s:v>
      </s:c>
      <s:c r="O31" s="43">
        <s:f>O30+O28+O29</s:f>
        <s:v>250402</s:v>
      </s:c>
      <s:c r="P31" s="43">
        <s:f>P30+P28+P29</s:f>
        <s:v>346196</s:v>
      </s:c>
      <s:c r="Q31" s="43">
        <s:f>Q30+Q28+Q29</s:f>
        <s:v>463309</s:v>
      </s:c>
      <s:c r="R31" s="43">
        <s:f>R30+R28+R29</s:f>
        <s:v>600695</s:v>
      </s:c>
      <s:c r="S31" s="43">
        <s:f>S30+S28+S29</s:f>
        <s:v>762307</s:v>
      </s:c>
      <s:c r="T31" s="43">
        <s:f>T30+T28+T29</s:f>
        <s:v>949599</s:v>
      </s:c>
    </s:row>
    <s:row r="32">
      <s:c r="A32" s="5" t="inlineStr">
        <s:is>
          <s:t>Cumulative Net Op Cash Flow</s:t>
        </s:is>
      </s:c>
      <s:c r="B32" s="21">
        <s:f>B28</s:f>
        <s:v>-20382.666666666668</s:v>
      </s:c>
      <s:c r="C32" s="21">
        <s:f>B32+C28</s:f>
        <s:v>-30765.333333333336</s:v>
      </s:c>
      <s:c r="D32" s="21">
        <s:f>C32+D28</s:f>
        <s:v>-41898</s:v>
      </s:c>
      <s:c r="E32" s="21">
        <s:f>D32+E28</s:f>
        <s:v>-45182</s:v>
      </s:c>
      <s:c r="F32" s="21">
        <s:f>E32+F28</s:f>
        <s:v>-47283</s:v>
      </s:c>
      <s:c r="G32" s="21">
        <s:f>F32+G28</s:f>
        <s:v>-52977</s:v>
      </s:c>
      <s:c r="H32" s="21">
        <s:f>G32+H28</s:f>
        <s:v>-55826</s:v>
      </s:c>
      <s:c r="I32" s="21">
        <s:f>H32+I28</s:f>
        <s:v>-51892</s:v>
      </s:c>
      <s:c r="J32" s="21">
        <s:f>I32+J28</s:f>
        <s:v>-40236</s:v>
      </s:c>
      <s:c r="K32" s="21">
        <s:f>J32+K28</s:f>
        <s:v>-18405</s:v>
      </s:c>
      <s:c r="L32" s="21">
        <s:f>K32+L28</s:f>
        <s:v>13539</s:v>
      </s:c>
      <s:c r="M32" s="21">
        <s:f>L32+M28</s:f>
        <s:v>60019</s:v>
      </s:c>
      <s:c r="N32" s="21">
        <s:f>M32+N28</s:f>
        <s:v>118989</s:v>
      </s:c>
      <s:c r="O32" s="21">
        <s:f>N32+O28</s:f>
        <s:v>195402</s:v>
      </s:c>
      <s:c r="P32" s="21">
        <s:f>O32+P28</s:f>
        <s:v>291196</s:v>
      </s:c>
      <s:c r="Q32" s="21">
        <s:f>P32+Q28</s:f>
        <s:v>408309</s:v>
      </s:c>
      <s:c r="R32" s="21">
        <s:f>Q32+R28</s:f>
        <s:v>545695</s:v>
      </s:c>
      <s:c r="S32" s="21">
        <s:f>R32+S28</s:f>
        <s:v>707307</s:v>
      </s:c>
      <s:c r="T32" s="21">
        <s:f>S32+T28</s:f>
        <s:v>894599</s:v>
      </s:c>
    </s:row>
    <s:row r="34">
      <s:c r="A34" s="3" t="inlineStr">
        <s:is>
          <s:t>VERDICT — DOES THE BOOTSTRAP SURVIVE?</s:t>
        </s:is>
      </s:c>
      <s:c r="B34" s="4" t="inlineStr"/>
      <s:c r="C34" s="4" t="inlineStr"/>
      <s:c r="D34" s="4" t="inlineStr"/>
      <s:c r="E34" s="4" t="inlineStr"/>
      <s:c r="F34" s="4" t="inlineStr"/>
      <s:c r="G34" s="4" t="inlineStr"/>
      <s:c r="H34" s="4" t="inlineStr"/>
      <s:c r="I34" s="4" t="inlineStr"/>
      <s:c r="J34" s="4" t="inlineStr"/>
      <s:c r="K34" s="4" t="inlineStr"/>
      <s:c r="L34" s="4" t="inlineStr"/>
      <s:c r="M34" s="4" t="inlineStr"/>
      <s:c r="N34" s="4" t="inlineStr"/>
      <s:c r="O34" s="4" t="inlineStr"/>
      <s:c r="P34" s="4" t="inlineStr"/>
      <s:c r="Q34" s="4" t="inlineStr"/>
      <s:c r="R34" s="4" t="inlineStr"/>
      <s:c r="S34" s="4" t="inlineStr"/>
      <s:c r="T34" s="4" t="inlineStr"/>
    </s:row>
    <s:row r="35">
      <s:c r="A35" s="25" t="inlineStr">
        <s:is>
          <s:t>Peak cumulative cash need</s:t>
        </s:is>
      </s:c>
      <s:c r="B35" s="31">
        <s:f>-MIN(B32:T32)</s:f>
        <s:v>55826</s:v>
      </s:c>
      <s:c r="D35" s="8" t="inlineStr">
        <s:is>
          <s:t>Deepest hole under this downside</s:t>
        </s:is>
      </s:c>
    </s:row>
    <s:row r="36">
      <s:c r="A36" s="25" t="inlineStr">
        <s:is>
          <s:t>Joe loan needed (peak + buffer)</s:t>
        </s:is>
      </s:c>
      <s:c r="B36" s="31">
        <s:f>-MIN(B32:T32)+Assumptions!$B$7</s:f>
        <s:v>70826</s:v>
      </s:c>
    </s:row>
    <s:row r="37">
      <s:c r="A37" s="25" t="inlineStr">
        <s:is>
          <s:t>Min ending cash on base $55k loan</s:t>
        </s:is>
      </s:c>
      <s:c r="B37" s="31">
        <s:f>MIN(B31:T31)</s:f>
        <s:v>-826.0000000000073</s:v>
      </s:c>
      <s:c r="D37" s="8" t="inlineStr">
        <s:is>
          <s:t>Negative =&gt; base loan is short</s:t>
        </s:is>
      </s:c>
    </s:row>
    <s:row r="38">
      <s:c r="A38" s="25" t="inlineStr">
        <s:is>
          <s:t>Extra loan needed beyond base</s:t>
        </s:is>
      </s:c>
      <s:c r="B38" s="31">
        <s:f>MAX(0,(-MIN(B32:T32)+Assumptions!$B$7)-Assumptions!$B$4)</s:f>
        <s:v>15826</s:v>
      </s:c>
      <s:c r="D38" s="8" t="inlineStr">
        <s:is>
          <s:t>Top-up to stay solvent in this case</s:t>
        </s:is>
      </s:c>
    </s:row>
    <s:row r="39">
      <s:c r="A39" s="25" t="inlineStr">
        <s:is>
          <s:t>MRR at Mo 18 (downside)</s:t>
        </s:is>
      </s:c>
      <s:c r="B39" s="31">
        <s:f>T13</s:f>
        <s:v>217053</s:v>
      </s:c>
    </s:row>
    <s:row r="40">
      <s:c r="A40" s="25" t="inlineStr">
        <s:is>
          <s:t>Total advisors at Mo 18 (downside)</s:t>
        </s:is>
      </s:c>
      <s:c r="B40" s="44">
        <s:f>T12</s:f>
        <s:v>447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2026-07-24T19:39:55Z</dcterms:created>
  <dcterms:modified xsi:type="dcterms:W3CDTF">2026-07-24T19:39:55Z</dcterms:modified>
</cp:coreProperties>
</file>